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exel\final project\"/>
    </mc:Choice>
  </mc:AlternateContent>
  <xr:revisionPtr revIDLastSave="0" documentId="13_ncr:1_{94F3488E-01F2-4E37-9928-8C11E5E79461}" xr6:coauthVersionLast="47" xr6:coauthVersionMax="47" xr10:uidLastSave="{00000000-0000-0000-0000-000000000000}"/>
  <bookViews>
    <workbookView xWindow="-110" yWindow="-110" windowWidth="19420" windowHeight="10300" firstSheet="1" activeTab="1" xr2:uid="{00000000-000D-0000-FFFF-FFFF00000000}"/>
  </bookViews>
  <sheets>
    <sheet name="Project Instructions" sheetId="1" r:id="rId1"/>
    <sheet name="Dashboard" sheetId="8" r:id="rId2"/>
    <sheet name="Final Project Dataset" sheetId="2" r:id="rId3"/>
    <sheet name="pivot table" sheetId="7" r:id="rId4"/>
    <sheet name="High value customer" sheetId="5" r:id="rId5"/>
    <sheet name="LINIER REGRETIONS" sheetId="3" r:id="rId6"/>
  </sheets>
  <definedNames>
    <definedName name="Slicer_Product_Name">#N/A</definedName>
    <definedName name="Slicer_Region">#N/A</definedName>
    <definedName name="Slicer_Unit_Pri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9" i="2" l="1"/>
  <c r="R13" i="2"/>
  <c r="W9" i="2"/>
  <c r="V9" i="2"/>
  <c r="B3" i="5"/>
  <c r="C3" i="5" s="1"/>
  <c r="B4" i="5"/>
  <c r="C4" i="5" s="1"/>
  <c r="B5" i="5"/>
  <c r="C5" i="5" s="1"/>
  <c r="B6" i="5"/>
  <c r="C6" i="5" s="1"/>
  <c r="B7" i="5"/>
  <c r="C7" i="5" s="1"/>
  <c r="B8" i="5"/>
  <c r="C8" i="5" s="1"/>
  <c r="B9" i="5"/>
  <c r="C9" i="5" s="1"/>
  <c r="B10" i="5"/>
  <c r="C10" i="5" s="1"/>
  <c r="B11" i="5"/>
  <c r="C11" i="5" s="1"/>
  <c r="B12" i="5"/>
  <c r="C12" i="5" s="1"/>
  <c r="B13" i="5"/>
  <c r="C13" i="5" s="1"/>
  <c r="B14" i="5"/>
  <c r="C14" i="5" s="1"/>
  <c r="B15" i="5"/>
  <c r="C15" i="5" s="1"/>
  <c r="B16" i="5"/>
  <c r="C16" i="5" s="1"/>
  <c r="B17" i="5"/>
  <c r="C17" i="5" s="1"/>
  <c r="B18" i="5"/>
  <c r="C18" i="5" s="1"/>
  <c r="B19" i="5"/>
  <c r="C19" i="5" s="1"/>
  <c r="B20" i="5"/>
  <c r="C20" i="5" s="1"/>
  <c r="B21" i="5"/>
  <c r="C21" i="5" s="1"/>
  <c r="B22" i="5"/>
  <c r="C22" i="5" s="1"/>
  <c r="B23" i="5"/>
  <c r="C23" i="5" s="1"/>
  <c r="B24" i="5"/>
  <c r="C24" i="5" s="1"/>
  <c r="B25" i="5"/>
  <c r="C25" i="5" s="1"/>
  <c r="B26" i="5"/>
  <c r="C26" i="5" s="1"/>
  <c r="B27" i="5"/>
  <c r="C27" i="5" s="1"/>
  <c r="B28" i="5"/>
  <c r="C28" i="5" s="1"/>
  <c r="B29" i="5"/>
  <c r="C29" i="5" s="1"/>
  <c r="B30" i="5"/>
  <c r="C30" i="5" s="1"/>
  <c r="B31" i="5"/>
  <c r="C31" i="5" s="1"/>
  <c r="B32" i="5"/>
  <c r="C32" i="5" s="1"/>
  <c r="B33" i="5"/>
  <c r="C33" i="5" s="1"/>
  <c r="B34" i="5"/>
  <c r="C34" i="5" s="1"/>
  <c r="B35" i="5"/>
  <c r="C35" i="5" s="1"/>
  <c r="B36" i="5"/>
  <c r="C36" i="5" s="1"/>
  <c r="B37" i="5"/>
  <c r="C37" i="5" s="1"/>
  <c r="B38" i="5"/>
  <c r="C38" i="5" s="1"/>
  <c r="B39" i="5"/>
  <c r="C39" i="5" s="1"/>
  <c r="B40" i="5"/>
  <c r="C40" i="5" s="1"/>
  <c r="B41" i="5"/>
  <c r="C41" i="5" s="1"/>
  <c r="B42" i="5"/>
  <c r="C42" i="5" s="1"/>
  <c r="B43" i="5"/>
  <c r="C43" i="5" s="1"/>
  <c r="B44" i="5"/>
  <c r="C44" i="5" s="1"/>
  <c r="B45" i="5"/>
  <c r="C45" i="5" s="1"/>
  <c r="B46" i="5"/>
  <c r="C46" i="5" s="1"/>
  <c r="B47" i="5"/>
  <c r="C47" i="5" s="1"/>
  <c r="B48" i="5"/>
  <c r="C48" i="5" s="1"/>
  <c r="B49" i="5"/>
  <c r="C49" i="5" s="1"/>
  <c r="B50" i="5"/>
  <c r="C50" i="5" s="1"/>
  <c r="B51" i="5"/>
  <c r="C51" i="5" s="1"/>
  <c r="B52" i="5"/>
  <c r="C52" i="5" s="1"/>
  <c r="B2" i="5"/>
  <c r="C2" i="5" s="1"/>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19" i="2"/>
  <c r="X20" i="2"/>
  <c r="X21" i="2"/>
  <c r="X22" i="2"/>
  <c r="X23" i="2"/>
  <c r="X24" i="2"/>
  <c r="X25" i="2"/>
  <c r="X26" i="2"/>
  <c r="X27" i="2"/>
  <c r="X28" i="2"/>
  <c r="X29" i="2"/>
  <c r="X30" i="2"/>
  <c r="X31" i="2"/>
  <c r="X32" i="2"/>
  <c r="X33" i="2"/>
  <c r="X34" i="2"/>
  <c r="X35" i="2"/>
  <c r="X36" i="2"/>
  <c r="X37" i="2"/>
  <c r="X38" i="2"/>
  <c r="X39" i="2"/>
  <c r="X40" i="2"/>
  <c r="X3" i="2"/>
  <c r="X4" i="2"/>
  <c r="X5" i="2"/>
  <c r="X6" i="2"/>
  <c r="X7" i="2"/>
  <c r="X8" i="2"/>
  <c r="X9" i="2"/>
  <c r="X10" i="2"/>
  <c r="X11" i="2"/>
  <c r="X12" i="2"/>
  <c r="X13" i="2"/>
  <c r="X14" i="2"/>
  <c r="X15" i="2"/>
  <c r="X16" i="2"/>
  <c r="X17" i="2"/>
  <c r="X18" i="2"/>
  <c r="X2" i="2"/>
  <c r="S21" i="2"/>
  <c r="S22" i="2"/>
  <c r="S23" i="2"/>
  <c r="S24" i="2"/>
  <c r="S25" i="2"/>
  <c r="S26" i="2"/>
  <c r="S27" i="2"/>
  <c r="S28" i="2"/>
  <c r="S29" i="2"/>
  <c r="S30" i="2"/>
  <c r="S31" i="2"/>
  <c r="S32" i="2"/>
  <c r="S33" i="2"/>
  <c r="S34" i="2"/>
  <c r="S35" i="2"/>
  <c r="S36" i="2"/>
  <c r="S20"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P2" i="2" l="1"/>
  <c r="R9" i="2"/>
  <c r="R4" i="2"/>
  <c r="U3" i="2"/>
  <c r="U4" i="2" s="1"/>
  <c r="U2" i="2"/>
</calcChain>
</file>

<file path=xl/sharedStrings.xml><?xml version="1.0" encoding="utf-8"?>
<sst xmlns="http://schemas.openxmlformats.org/spreadsheetml/2006/main" count="2485" uniqueCount="482">
  <si>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</si>
  <si>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</si>
  <si>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</si>
  <si>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</si>
  <si>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</si>
  <si>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</si>
  <si>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</si>
  <si>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</si>
  <si>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</si>
  <si>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</si>
  <si>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</si>
  <si>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</si>
  <si>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</si>
  <si>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</si>
  <si>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</si>
  <si>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</si>
  <si>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</si>
  <si>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</si>
  <si>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</si>
  <si>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</si>
  <si>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</si>
  <si>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</si>
  <si>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</si>
  <si>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</si>
  <si>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</si>
  <si>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</si>
  <si>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</si>
  <si>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</si>
  <si>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</si>
  <si>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</si>
  <si>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</si>
  <si>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</si>
  <si>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</si>
  <si>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</si>
  <si>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</si>
  <si>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</si>
  <si>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</si>
  <si>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</si>
  <si>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</si>
  <si>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</si>
  <si>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</si>
  <si>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</si>
  <si>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</si>
  <si>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</si>
  <si>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</si>
  <si>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</si>
  <si>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</si>
  <si>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</si>
  <si>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</si>
  <si>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</si>
  <si>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</si>
  <si>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</si>
  <si>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</si>
  <si>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</si>
  <si>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</si>
  <si>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</si>
  <si>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</si>
  <si>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</si>
  <si>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</si>
  <si>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</si>
  <si>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</si>
  <si>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</si>
  <si>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</si>
  <si>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</si>
  <si>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</si>
  <si>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r>
      <t xml:space="preserve">Dataset: </t>
    </r>
    <r>
      <rPr>
        <sz val="11"/>
        <color theme="1"/>
        <rFont val="Calibri"/>
        <family val="2"/>
        <scheme val="minor"/>
      </rPr>
      <t>Use the 'Final Project Dataset' sheet containing 200+ records of customer transactions.</t>
    </r>
  </si>
  <si>
    <t xml:space="preserve">Objective: </t>
  </si>
  <si>
    <t>Create a full-fledged analysis and reporting solution using Excel to analyze customer transactions, find insights,</t>
  </si>
  <si>
    <t>and build visualizations and dashboards.</t>
  </si>
  <si>
    <t>Key Topics to Implement:</t>
  </si>
  <si>
    <t>- Date &amp; Time Functions: TODAY, NOW, DATEDIF, EOMONTH</t>
  </si>
  <si>
    <t>- FILTER Function for multi-value returns</t>
  </si>
  <si>
    <t>- Conditional Formatting with Icons/Arrows</t>
  </si>
  <si>
    <t>- Create Timestamp (using NOW and iterative calculations)</t>
  </si>
  <si>
    <t>- WHAT-IF Analysis: Scenario Manager, Goal Seek</t>
  </si>
  <si>
    <t>- Linear Regression using Data Analysis Toolpak</t>
  </si>
  <si>
    <t>- Data Analysis &amp; Storytelling from the dataset</t>
  </si>
  <si>
    <t>- Use GroupBy concepts to find High-Value Customers using formulas</t>
  </si>
  <si>
    <t>- Create Dashboard using:</t>
  </si>
  <si>
    <t>- Pivot Tables</t>
  </si>
  <si>
    <t>- Pivot Charts (Bar, Line, Pie)</t>
  </si>
  <si>
    <t>- Slicers and Timelines</t>
  </si>
  <si>
    <t>- KPI Indicators with Conditional Formatting</t>
  </si>
  <si>
    <t>- Find most frequently purchased product or repeating names using formulas</t>
  </si>
  <si>
    <t>- Compare two lists and extract matching names in a new column</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</si>
  <si>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</si>
  <si>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</si>
  <si>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</si>
  <si>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</si>
  <si>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</si>
  <si>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</si>
  <si>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DATE AND TIME FUNCTION</t>
  </si>
  <si>
    <t>TODAY</t>
  </si>
  <si>
    <t>NOW</t>
  </si>
  <si>
    <t>EOMONTH</t>
  </si>
  <si>
    <t>TIME STEMP</t>
  </si>
  <si>
    <t>QTY</t>
  </si>
  <si>
    <t>PRICE</t>
  </si>
  <si>
    <t>TOTAL 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</si>
  <si>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</si>
  <si>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</si>
  <si>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</si>
  <si>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</si>
  <si>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</si>
  <si>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</si>
  <si>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</si>
  <si>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</si>
  <si>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</si>
  <si>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</si>
  <si>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</si>
  <si>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</si>
  <si>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</si>
  <si>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</si>
  <si>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</si>
  <si>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</si>
  <si>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</si>
  <si>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</si>
  <si>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</si>
  <si>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</si>
  <si>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</si>
  <si>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</si>
  <si>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</si>
  <si>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</si>
  <si>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</si>
  <si>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INEAR REGRETIONS</t>
  </si>
  <si>
    <t>Product Frequency</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</si>
  <si>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</si>
  <si>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</si>
  <si>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</si>
  <si>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</si>
  <si>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</si>
  <si>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</si>
  <si>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</si>
  <si>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</si>
  <si>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</si>
  <si>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</si>
  <si>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</si>
  <si>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</si>
  <si>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</si>
  <si>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</si>
  <si>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</si>
  <si>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</si>
  <si>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</si>
  <si>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</si>
  <si>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</si>
  <si>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</si>
  <si>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</si>
  <si>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</si>
  <si>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</si>
  <si>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</si>
  <si>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</si>
  <si>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</si>
  <si>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</si>
  <si>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</si>
  <si>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</si>
  <si>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</si>
  <si>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</si>
  <si>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</si>
  <si>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</si>
  <si>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</si>
  <si>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</si>
  <si>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</si>
  <si>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</si>
  <si>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</si>
  <si>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</si>
  <si>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</si>
  <si>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</si>
  <si>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</si>
  <si>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</si>
  <si>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</si>
  <si>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</si>
  <si>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</si>
  <si>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</si>
  <si>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</si>
  <si>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</si>
  <si>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</si>
  <si>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</si>
  <si>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</si>
  <si>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</si>
  <si>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</si>
  <si>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</si>
  <si>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</si>
  <si>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</si>
  <si>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</si>
  <si>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</si>
  <si>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</si>
  <si>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</si>
  <si>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</si>
  <si>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</si>
  <si>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</si>
  <si>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</si>
  <si>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</si>
  <si>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</si>
  <si>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</si>
  <si>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</si>
  <si>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</si>
  <si>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</si>
  <si>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</si>
  <si>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</si>
  <si>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</si>
  <si>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</si>
  <si>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</si>
  <si>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</si>
  <si>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</si>
  <si>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</si>
  <si>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</si>
  <si>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</si>
  <si>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</si>
  <si>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</si>
  <si>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</si>
  <si>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</si>
  <si>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</si>
  <si>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</si>
  <si>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</si>
  <si>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</si>
  <si>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</si>
  <si>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</si>
  <si>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</si>
  <si>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</si>
  <si>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</si>
  <si>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</si>
  <si>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</si>
  <si>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</si>
  <si>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</si>
  <si>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</si>
  <si>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</si>
  <si>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</si>
  <si>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</si>
  <si>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</si>
  <si>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</si>
  <si>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</si>
  <si>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</si>
  <si>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</si>
  <si>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</si>
  <si>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</si>
  <si>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</si>
  <si>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</si>
  <si>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</si>
  <si>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</si>
  <si>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</si>
  <si>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</si>
  <si>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</si>
  <si>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</si>
  <si>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</si>
  <si>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</si>
  <si>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</si>
  <si>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</si>
  <si>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</si>
  <si>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</si>
  <si>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</si>
  <si>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</si>
  <si>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</si>
  <si>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</si>
  <si>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</si>
  <si>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</si>
  <si>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</si>
  <si>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</si>
  <si>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</si>
  <si>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</si>
  <si>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</si>
  <si>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</si>
  <si>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</si>
  <si>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</si>
  <si>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</si>
  <si>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</si>
  <si>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</si>
  <si>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</si>
  <si>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</si>
  <si>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</si>
  <si>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</si>
  <si>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</si>
  <si>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</si>
  <si>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</si>
  <si>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</si>
  <si>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</si>
  <si>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</si>
  <si>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</si>
  <si>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</si>
  <si>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</si>
  <si>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</si>
  <si>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</si>
  <si>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</si>
  <si>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</si>
  <si>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</si>
  <si>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</si>
  <si>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</si>
  <si>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</si>
  <si>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</si>
  <si>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</si>
  <si>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</si>
  <si>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</si>
  <si>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</si>
  <si>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</si>
  <si>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</si>
  <si>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</si>
  <si>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</si>
  <si>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</si>
  <si>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</si>
  <si>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</si>
  <si>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</si>
  <si>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</si>
  <si>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</si>
  <si>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</si>
  <si>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</si>
  <si>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</si>
  <si>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</si>
  <si>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</si>
  <si>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</si>
  <si>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</si>
  <si>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</si>
  <si>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</si>
  <si>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</si>
  <si>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</si>
  <si>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</si>
  <si>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</si>
  <si>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</si>
  <si>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</si>
  <si>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</si>
  <si>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</si>
  <si>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</si>
  <si>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</si>
  <si>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</si>
  <si>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</si>
  <si>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</si>
  <si>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</si>
  <si>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</si>
  <si>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</si>
  <si>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</si>
  <si>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</si>
  <si>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</si>
  <si>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</si>
  <si>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</si>
  <si>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</si>
  <si>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</si>
  <si>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</si>
  <si>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</si>
  <si>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</si>
  <si>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</si>
  <si>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</si>
  <si>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</si>
  <si>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</si>
  <si>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</si>
  <si>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</si>
  <si>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</si>
  <si>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</si>
  <si>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</si>
  <si>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</si>
  <si>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</si>
  <si>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</si>
  <si>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</si>
  <si>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</si>
  <si>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</si>
  <si>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</si>
  <si>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</si>
  <si>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</si>
  <si>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</si>
  <si>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</si>
  <si>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</si>
  <si>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</si>
  <si>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</si>
  <si>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</si>
  <si>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</si>
  <si>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</si>
  <si>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</si>
  <si>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</si>
  <si>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</si>
  <si>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</si>
  <si>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</si>
  <si>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</si>
  <si>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</si>
  <si>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</si>
  <si>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</si>
  <si>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</si>
  <si>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</si>
  <si>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</si>
  <si>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</si>
  <si>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</si>
  <si>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</si>
  <si>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</si>
  <si>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</si>
  <si>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</si>
  <si>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</si>
  <si>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</si>
  <si>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</si>
  <si>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</si>
  <si>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</si>
  <si>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</si>
  <si>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</si>
  <si>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</si>
  <si>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</si>
  <si>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</si>
  <si>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</si>
  <si>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</si>
  <si>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</si>
  <si>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</si>
  <si>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</si>
  <si>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</si>
  <si>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</si>
  <si>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</si>
  <si>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</si>
  <si>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</si>
  <si>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</si>
  <si>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</si>
  <si>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</si>
  <si>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</si>
  <si>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</si>
  <si>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</si>
  <si>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</si>
  <si>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</si>
  <si>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</si>
  <si>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</si>
  <si>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</si>
  <si>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</si>
  <si>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</si>
  <si>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</si>
  <si>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</si>
  <si>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</si>
  <si>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</si>
  <si>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</si>
  <si>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</si>
  <si>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</si>
  <si>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</si>
  <si>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</si>
  <si>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</si>
  <si>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</si>
  <si>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</si>
  <si>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</si>
  <si>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</si>
  <si>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</si>
  <si>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</si>
  <si>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</si>
  <si>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</si>
  <si>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</si>
  <si>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</si>
  <si>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</si>
  <si>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</si>
  <si>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</si>
  <si>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</si>
  <si>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</si>
  <si>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</si>
  <si>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</si>
  <si>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</si>
  <si>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</si>
  <si>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</si>
  <si>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</si>
  <si>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</si>
  <si>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</si>
  <si>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</si>
  <si>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</si>
  <si>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</si>
  <si>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</si>
  <si>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</si>
  <si>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</si>
  <si>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</si>
  <si>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</si>
  <si>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</si>
  <si>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</si>
  <si>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</si>
  <si>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</si>
  <si>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</si>
  <si>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</si>
  <si>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Most Frequency purches product</t>
  </si>
  <si>
    <t>List 1</t>
  </si>
  <si>
    <t>Edwa+D31:E72rd Mitchell</t>
  </si>
  <si>
    <t>List 2</t>
  </si>
  <si>
    <t>Final List</t>
  </si>
  <si>
    <t>First Later</t>
  </si>
  <si>
    <t>WHAT IF (SCENARIO MANAGER)</t>
  </si>
  <si>
    <t>WHAT IF (GOAL SEEK)</t>
  </si>
  <si>
    <t>Name</t>
  </si>
  <si>
    <t>Total sales</t>
  </si>
  <si>
    <t>High Value Customer</t>
  </si>
  <si>
    <t>Total Quantity</t>
  </si>
  <si>
    <t>Total Unit Price</t>
  </si>
  <si>
    <t>Total Amount</t>
  </si>
  <si>
    <t>Row Labels</t>
  </si>
  <si>
    <t>Grand Total</t>
  </si>
  <si>
    <t>2024</t>
  </si>
  <si>
    <t>2025</t>
  </si>
  <si>
    <t>Sum of Unit_Price</t>
  </si>
  <si>
    <t>Sum of Quantity</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</si>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</sst>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b/>
      <sz val="11"/>
      <color theme="1"/>
      <name val="Calibri"/>
      <scheme val="minor"/>
    </font>
    <font>
      <b/>
      <sz val="11"/>
      <color theme="1"/>
      <name val="Calibri"/>
      <family val="2"/>
      <scheme val="minor"/>
    </font>
    <font>
      <b/>
      <sz val="11"/>
      <color rgb="FF367526"/>
      <name val="Calibri"/>
      <family val="2"/>
      <scheme val="minor"/>
    </font>
    <font>
      <sz val="11"/>
      <color rgb="FF38761D"/>
      <name val="Calibri"/>
      <family val="2"/>
      <scheme val="minor"/>
    </font>
    <font>
      <i/>
      <sz val="11"/>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rgb="FFFFFF00"/>
        <bgColor indexed="64"/>
      </patternFill>
    </fill>
    <fill>
      <patternFill patternType="solid">
        <fgColor theme="2" tint="-0.49998474074526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4" fillId="2" borderId="1" xfId="0" applyFont="1" applyFill="1" applyBorder="1" applyAlignment="1">
      <alignment horizontal="center"/>
    </xf>
    <xf numFmtId="0" fontId="5" fillId="0" borderId="0" xfId="0" applyFont="1" applyAlignment="1">
      <alignment horizontal="center" vertical="center"/>
    </xf>
    <xf numFmtId="0" fontId="6" fillId="0" borderId="0" xfId="0" applyFont="1"/>
    <xf numFmtId="0" fontId="5" fillId="0" borderId="0" xfId="0" applyFont="1"/>
    <xf numFmtId="0" fontId="7" fillId="0" borderId="0" xfId="0" applyFont="1"/>
    <xf numFmtId="0" fontId="3" fillId="0" borderId="0" xfId="0" applyFont="1"/>
    <xf numFmtId="0" fontId="8" fillId="0" borderId="0" xfId="0" applyFont="1"/>
    <xf numFmtId="0" fontId="9" fillId="0" borderId="0" xfId="0" applyFont="1"/>
    <xf numFmtId="0" fontId="0" fillId="0" borderId="2" xfId="0" applyBorder="1"/>
    <xf numFmtId="14" fontId="0" fillId="0" borderId="2" xfId="0" applyNumberFormat="1" applyBorder="1"/>
    <xf numFmtId="22" fontId="0" fillId="0" borderId="2" xfId="0" applyNumberFormat="1" applyBorder="1"/>
    <xf numFmtId="22" fontId="0" fillId="0" borderId="2" xfId="0" applyNumberFormat="1" applyBorder="1" applyAlignment="1">
      <alignment horizontal="center" vertical="center"/>
    </xf>
    <xf numFmtId="0" fontId="0" fillId="0" borderId="2" xfId="0" applyBorder="1" applyAlignment="1">
      <alignment horizontal="center"/>
    </xf>
    <xf numFmtId="0" fontId="10" fillId="0" borderId="2" xfId="0" applyFont="1" applyBorder="1" applyAlignment="1">
      <alignment horizontal="centerContinuous"/>
    </xf>
    <xf numFmtId="0" fontId="10" fillId="0" borderId="2" xfId="0" applyFont="1" applyBorder="1" applyAlignment="1">
      <alignment horizontal="center"/>
    </xf>
    <xf numFmtId="0" fontId="7" fillId="0" borderId="3" xfId="0" applyFont="1" applyBorder="1" applyAlignment="1">
      <alignment wrapText="1"/>
    </xf>
    <xf numFmtId="0" fontId="2" fillId="0" borderId="3" xfId="0" applyFont="1" applyBorder="1" applyAlignment="1">
      <alignment wrapText="1"/>
    </xf>
    <xf numFmtId="14" fontId="2" fillId="0" borderId="3" xfId="0" applyNumberFormat="1" applyFont="1" applyBorder="1" applyAlignment="1">
      <alignment horizontal="right" wrapText="1"/>
    </xf>
    <xf numFmtId="0" fontId="2" fillId="0" borderId="3" xfId="0" applyFont="1" applyBorder="1" applyAlignment="1">
      <alignment horizontal="right" wrapText="1"/>
    </xf>
    <xf numFmtId="0" fontId="0" fillId="0" borderId="4" xfId="0" applyBorder="1"/>
    <xf numFmtId="0" fontId="2" fillId="0" borderId="2" xfId="0" applyFont="1" applyBorder="1" applyAlignment="1">
      <alignment wrapText="1"/>
    </xf>
    <xf numFmtId="0" fontId="7" fillId="3" borderId="2" xfId="0" applyFont="1" applyFill="1" applyBorder="1" applyAlignment="1">
      <alignment wrapText="1"/>
    </xf>
    <xf numFmtId="0" fontId="7" fillId="3" borderId="4" xfId="0" applyFont="1" applyFill="1" applyBorder="1" applyAlignment="1">
      <alignment wrapText="1"/>
    </xf>
    <xf numFmtId="0" fontId="7" fillId="3" borderId="2" xfId="0" applyFont="1" applyFill="1" applyBorder="1" applyAlignment="1">
      <alignment horizontal="center"/>
    </xf>
    <xf numFmtId="0" fontId="7" fillId="3" borderId="2" xfId="0" applyFont="1" applyFill="1" applyBorder="1"/>
    <xf numFmtId="0" fontId="6" fillId="3" borderId="2" xfId="0" applyFont="1" applyFill="1" applyBorder="1" applyAlignment="1">
      <alignment horizontal="center" vertical="center"/>
    </xf>
    <xf numFmtId="0" fontId="0" fillId="4" borderId="0" xfId="0"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6" fillId="3" borderId="2" xfId="0" applyFont="1" applyFill="1" applyBorder="1" applyAlignment="1">
      <alignment horizontal="center"/>
    </xf>
    <xf numFmtId="0" fontId="7"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 table'!$F$4:$G$14</c:f>
              <c:multiLvlStrCache>
                <c:ptCount val="10"/>
                <c:lvl>
                  <c:pt idx="0">
                    <c:v>Blender</c:v>
                  </c:pt>
                  <c:pt idx="1">
                    <c:v>Coffee Maker</c:v>
                  </c:pt>
                  <c:pt idx="2">
                    <c:v>Headphones</c:v>
                  </c:pt>
                  <c:pt idx="3">
                    <c:v>Keyboard</c:v>
                  </c:pt>
                  <c:pt idx="4">
                    <c:v>Laptop</c:v>
                  </c:pt>
                  <c:pt idx="5">
                    <c:v>Monitor</c:v>
                  </c:pt>
                  <c:pt idx="6">
                    <c:v>Smartphone</c:v>
                  </c:pt>
                  <c:pt idx="7">
                    <c:v>Bookshelf</c:v>
                  </c:pt>
                  <c:pt idx="8">
                    <c:v>Desk</c:v>
                  </c:pt>
                  <c:pt idx="9">
                    <c:v>Office Chair</c:v>
                  </c:pt>
                </c:lvl>
                <c:lvl>
                  <c:pt idx="0">
                    <c:v>Appliances</c:v>
                  </c:pt>
                  <c:pt idx="2">
                    <c:v>Electronics</c:v>
                  </c:pt>
                  <c:pt idx="7">
                    <c:v>Furniture</c:v>
                  </c:pt>
                </c:lvl>
              </c:multiLvlStrCache>
            </c:multiLvlStrRef>
          </c:cat>
          <c:val>
            <c:numRef>
              <c:f>'pivot table'!$H$4:$H$14</c:f>
              <c:numCache>
                <c:formatCode>General</c:formatCode>
                <c:ptCount val="10"/>
                <c:pt idx="0">
                  <c:v>87</c:v>
                </c:pt>
                <c:pt idx="1">
                  <c:v>39</c:v>
                </c:pt>
                <c:pt idx="2">
                  <c:v>47</c:v>
                </c:pt>
                <c:pt idx="3">
                  <c:v>89</c:v>
                </c:pt>
                <c:pt idx="4">
                  <c:v>75</c:v>
                </c:pt>
                <c:pt idx="5">
                  <c:v>88</c:v>
                </c:pt>
                <c:pt idx="6">
                  <c:v>96</c:v>
                </c:pt>
                <c:pt idx="7">
                  <c:v>102</c:v>
                </c:pt>
                <c:pt idx="8">
                  <c:v>78</c:v>
                </c:pt>
                <c:pt idx="9">
                  <c:v>52</c:v>
                </c:pt>
              </c:numCache>
            </c:numRef>
          </c:val>
          <c:extLst>
            <c:ext xmlns:c16="http://schemas.microsoft.com/office/drawing/2014/chart" uri="{C3380CC4-5D6E-409C-BE32-E72D297353CC}">
              <c16:uniqueId val="{00000000-F7FA-4704-9E86-3FD53C2F75E0}"/>
            </c:ext>
          </c:extLst>
        </c:ser>
        <c:ser>
          <c:idx val="1"/>
          <c:order val="1"/>
          <c:tx>
            <c:strRef>
              <c:f>'pivot table'!$I$3</c:f>
              <c:strCache>
                <c:ptCount val="1"/>
                <c:pt idx="0">
                  <c:v>Sum of Total_Amount</c:v>
                </c:pt>
              </c:strCache>
            </c:strRef>
          </c:tx>
          <c:spPr>
            <a:solidFill>
              <a:schemeClr val="bg1"/>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2">
                    <a:alpha val="50000"/>
                  </a:schemeClr>
                </a:solidFill>
              </a:ln>
              <a:effectLst/>
            </c:spPr>
            <c:trendlineType val="linear"/>
            <c:dispRSqr val="0"/>
            <c:dispEq val="0"/>
          </c:trendline>
          <c:cat>
            <c:multiLvlStrRef>
              <c:f>'pivot table'!$F$4:$G$14</c:f>
              <c:multiLvlStrCache>
                <c:ptCount val="10"/>
                <c:lvl>
                  <c:pt idx="0">
                    <c:v>Blender</c:v>
                  </c:pt>
                  <c:pt idx="1">
                    <c:v>Coffee Maker</c:v>
                  </c:pt>
                  <c:pt idx="2">
                    <c:v>Headphones</c:v>
                  </c:pt>
                  <c:pt idx="3">
                    <c:v>Keyboard</c:v>
                  </c:pt>
                  <c:pt idx="4">
                    <c:v>Laptop</c:v>
                  </c:pt>
                  <c:pt idx="5">
                    <c:v>Monitor</c:v>
                  </c:pt>
                  <c:pt idx="6">
                    <c:v>Smartphone</c:v>
                  </c:pt>
                  <c:pt idx="7">
                    <c:v>Bookshelf</c:v>
                  </c:pt>
                  <c:pt idx="8">
                    <c:v>Desk</c:v>
                  </c:pt>
                  <c:pt idx="9">
                    <c:v>Office Chair</c:v>
                  </c:pt>
                </c:lvl>
                <c:lvl>
                  <c:pt idx="0">
                    <c:v>Appliances</c:v>
                  </c:pt>
                  <c:pt idx="2">
                    <c:v>Electronics</c:v>
                  </c:pt>
                  <c:pt idx="7">
                    <c:v>Furniture</c:v>
                  </c:pt>
                </c:lvl>
              </c:multiLvlStrCache>
            </c:multiLvlStrRef>
          </c:cat>
          <c:val>
            <c:numRef>
              <c:f>'pivot table'!$I$4:$I$14</c:f>
              <c:numCache>
                <c:formatCode>General</c:formatCode>
                <c:ptCount val="10"/>
                <c:pt idx="0">
                  <c:v>5219.1299999999974</c:v>
                </c:pt>
                <c:pt idx="1">
                  <c:v>3119.6099999999992</c:v>
                </c:pt>
                <c:pt idx="2">
                  <c:v>7049.5299999999988</c:v>
                </c:pt>
                <c:pt idx="3">
                  <c:v>8009.1099999999969</c:v>
                </c:pt>
                <c:pt idx="4">
                  <c:v>67499.25</c:v>
                </c:pt>
                <c:pt idx="5">
                  <c:v>21999.119999999999</c:v>
                </c:pt>
                <c:pt idx="6">
                  <c:v>67199.039999999994</c:v>
                </c:pt>
                <c:pt idx="7">
                  <c:v>15298.979999999994</c:v>
                </c:pt>
                <c:pt idx="8">
                  <c:v>23399.22</c:v>
                </c:pt>
                <c:pt idx="9">
                  <c:v>10399.479999999998</c:v>
                </c:pt>
              </c:numCache>
            </c:numRef>
          </c:val>
          <c:extLst>
            <c:ext xmlns:c16="http://schemas.microsoft.com/office/drawing/2014/chart" uri="{C3380CC4-5D6E-409C-BE32-E72D297353CC}">
              <c16:uniqueId val="{00000001-F7FA-4704-9E86-3FD53C2F75E0}"/>
            </c:ext>
          </c:extLst>
        </c:ser>
        <c:dLbls>
          <c:dLblPos val="outEnd"/>
          <c:showLegendKey val="0"/>
          <c:showVal val="1"/>
          <c:showCatName val="0"/>
          <c:showSerName val="0"/>
          <c:showPercent val="0"/>
          <c:showBubbleSize val="0"/>
        </c:dLbls>
        <c:gapWidth val="315"/>
        <c:overlap val="-40"/>
        <c:axId val="1305099615"/>
        <c:axId val="1305099135"/>
      </c:barChart>
      <c:catAx>
        <c:axId val="13050996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099135"/>
        <c:crosses val="autoZero"/>
        <c:auto val="1"/>
        <c:lblAlgn val="ctr"/>
        <c:lblOffset val="100"/>
        <c:noMultiLvlLbl val="0"/>
      </c:catAx>
      <c:valAx>
        <c:axId val="1305099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09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cat>
            <c:strRef>
              <c:f>'pivot table'!$V$4:$V$9</c:f>
              <c:strCache>
                <c:ptCount val="5"/>
                <c:pt idx="0">
                  <c:v>Central</c:v>
                </c:pt>
                <c:pt idx="1">
                  <c:v>East</c:v>
                </c:pt>
                <c:pt idx="2">
                  <c:v>North</c:v>
                </c:pt>
                <c:pt idx="3">
                  <c:v>South</c:v>
                </c:pt>
                <c:pt idx="4">
                  <c:v>West</c:v>
                </c:pt>
              </c:strCache>
            </c:strRef>
          </c:cat>
          <c:val>
            <c:numRef>
              <c:f>'pivot table'!$W$4:$W$9</c:f>
              <c:numCache>
                <c:formatCode>General</c:formatCode>
                <c:ptCount val="5"/>
                <c:pt idx="0">
                  <c:v>14219.459999999992</c:v>
                </c:pt>
                <c:pt idx="1">
                  <c:v>16569.519999999997</c:v>
                </c:pt>
                <c:pt idx="2">
                  <c:v>19749.41</c:v>
                </c:pt>
                <c:pt idx="3">
                  <c:v>10189.579999999994</c:v>
                </c:pt>
                <c:pt idx="4">
                  <c:v>13439.529999999992</c:v>
                </c:pt>
              </c:numCache>
            </c:numRef>
          </c:val>
          <c:smooth val="0"/>
          <c:extLst>
            <c:ext xmlns:c16="http://schemas.microsoft.com/office/drawing/2014/chart" uri="{C3380CC4-5D6E-409C-BE32-E72D297353CC}">
              <c16:uniqueId val="{00000000-9BD2-4D82-AB24-075F3A1C66D7}"/>
            </c:ext>
          </c:extLst>
        </c:ser>
        <c:dLbls>
          <c:showLegendKey val="0"/>
          <c:showVal val="0"/>
          <c:showCatName val="0"/>
          <c:showSerName val="0"/>
          <c:showPercent val="0"/>
          <c:showBubbleSize val="0"/>
        </c:dLbls>
        <c:marker val="1"/>
        <c:smooth val="0"/>
        <c:axId val="262586991"/>
        <c:axId val="262585551"/>
      </c:lineChart>
      <c:catAx>
        <c:axId val="26258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585551"/>
        <c:crosses val="autoZero"/>
        <c:auto val="1"/>
        <c:lblAlgn val="ctr"/>
        <c:lblOffset val="100"/>
        <c:noMultiLvlLbl val="0"/>
      </c:catAx>
      <c:valAx>
        <c:axId val="262585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58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table'!$Q$3</c:f>
              <c:strCache>
                <c:ptCount val="1"/>
                <c:pt idx="0">
                  <c:v>Total</c:v>
                </c:pt>
              </c:strCache>
            </c:strRef>
          </c:tx>
          <c:spPr>
            <a:solidFill>
              <a:schemeClr val="bg1"/>
            </a:solidFill>
            <a:ln>
              <a:noFill/>
            </a:ln>
            <a:effectLst>
              <a:outerShdw blurRad="57150" dist="19050" dir="5400000" algn="ctr" rotWithShape="0">
                <a:srgbClr val="000000">
                  <a:alpha val="63000"/>
                </a:srgbClr>
              </a:outerShdw>
            </a:effectLst>
            <a:sp3d/>
          </c:spPr>
          <c:invertIfNegative val="0"/>
          <c:cat>
            <c:strRef>
              <c:f>'pivot table'!$P$4:$P$6</c:f>
              <c:strCache>
                <c:ptCount val="2"/>
                <c:pt idx="0">
                  <c:v>2024</c:v>
                </c:pt>
                <c:pt idx="1">
                  <c:v>2025</c:v>
                </c:pt>
              </c:strCache>
            </c:strRef>
          </c:cat>
          <c:val>
            <c:numRef>
              <c:f>'pivot table'!$Q$4:$Q$6</c:f>
              <c:numCache>
                <c:formatCode>General</c:formatCode>
                <c:ptCount val="2"/>
                <c:pt idx="0">
                  <c:v>52088.219999999958</c:v>
                </c:pt>
                <c:pt idx="1">
                  <c:v>22079.280000000017</c:v>
                </c:pt>
              </c:numCache>
            </c:numRef>
          </c:val>
          <c:extLst>
            <c:ext xmlns:c16="http://schemas.microsoft.com/office/drawing/2014/chart" uri="{C3380CC4-5D6E-409C-BE32-E72D297353CC}">
              <c16:uniqueId val="{00000000-5EBC-4E1C-8F49-F28D7EFCFEB0}"/>
            </c:ext>
          </c:extLst>
        </c:ser>
        <c:dLbls>
          <c:showLegendKey val="0"/>
          <c:showVal val="0"/>
          <c:showCatName val="0"/>
          <c:showSerName val="0"/>
          <c:showPercent val="0"/>
          <c:showBubbleSize val="0"/>
        </c:dLbls>
        <c:gapWidth val="150"/>
        <c:shape val="box"/>
        <c:axId val="261030015"/>
        <c:axId val="261461743"/>
        <c:axId val="0"/>
      </c:bar3DChart>
      <c:catAx>
        <c:axId val="26103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461743"/>
        <c:crosses val="autoZero"/>
        <c:auto val="1"/>
        <c:lblAlgn val="ctr"/>
        <c:lblOffset val="100"/>
        <c:noMultiLvlLbl val="0"/>
      </c:catAx>
      <c:valAx>
        <c:axId val="2614617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03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table'!$Q$3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table'!$P$4:$P$6</c:f>
              <c:strCache>
                <c:ptCount val="2"/>
                <c:pt idx="0">
                  <c:v>2024</c:v>
                </c:pt>
                <c:pt idx="1">
                  <c:v>2025</c:v>
                </c:pt>
              </c:strCache>
            </c:strRef>
          </c:cat>
          <c:val>
            <c:numRef>
              <c:f>'pivot table'!$Q$4:$Q$6</c:f>
              <c:numCache>
                <c:formatCode>General</c:formatCode>
                <c:ptCount val="2"/>
                <c:pt idx="0">
                  <c:v>52088.219999999958</c:v>
                </c:pt>
                <c:pt idx="1">
                  <c:v>22079.280000000017</c:v>
                </c:pt>
              </c:numCache>
            </c:numRef>
          </c:val>
          <c:extLst>
            <c:ext xmlns:c16="http://schemas.microsoft.com/office/drawing/2014/chart" uri="{C3380CC4-5D6E-409C-BE32-E72D297353CC}">
              <c16:uniqueId val="{00000000-2AC4-40A8-825B-186CDD86F9BD}"/>
            </c:ext>
          </c:extLst>
        </c:ser>
        <c:dLbls>
          <c:showLegendKey val="0"/>
          <c:showVal val="0"/>
          <c:showCatName val="0"/>
          <c:showSerName val="0"/>
          <c:showPercent val="0"/>
          <c:showBubbleSize val="0"/>
        </c:dLbls>
        <c:gapWidth val="150"/>
        <c:shape val="box"/>
        <c:axId val="261030015"/>
        <c:axId val="261461743"/>
        <c:axId val="0"/>
      </c:bar3DChart>
      <c:catAx>
        <c:axId val="26103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461743"/>
        <c:crosses val="autoZero"/>
        <c:auto val="1"/>
        <c:lblAlgn val="ctr"/>
        <c:lblOffset val="100"/>
        <c:noMultiLvlLbl val="0"/>
      </c:catAx>
      <c:valAx>
        <c:axId val="2614617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103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table'!$V$4:$V$9</c:f>
              <c:strCache>
                <c:ptCount val="5"/>
                <c:pt idx="0">
                  <c:v>Central</c:v>
                </c:pt>
                <c:pt idx="1">
                  <c:v>East</c:v>
                </c:pt>
                <c:pt idx="2">
                  <c:v>North</c:v>
                </c:pt>
                <c:pt idx="3">
                  <c:v>South</c:v>
                </c:pt>
                <c:pt idx="4">
                  <c:v>West</c:v>
                </c:pt>
              </c:strCache>
            </c:strRef>
          </c:cat>
          <c:val>
            <c:numRef>
              <c:f>'pivot table'!$W$4:$W$9</c:f>
              <c:numCache>
                <c:formatCode>General</c:formatCode>
                <c:ptCount val="5"/>
                <c:pt idx="0">
                  <c:v>14219.459999999992</c:v>
                </c:pt>
                <c:pt idx="1">
                  <c:v>16569.519999999997</c:v>
                </c:pt>
                <c:pt idx="2">
                  <c:v>19749.41</c:v>
                </c:pt>
                <c:pt idx="3">
                  <c:v>10189.579999999994</c:v>
                </c:pt>
                <c:pt idx="4">
                  <c:v>13439.529999999992</c:v>
                </c:pt>
              </c:numCache>
            </c:numRef>
          </c:val>
          <c:smooth val="0"/>
          <c:extLst>
            <c:ext xmlns:c16="http://schemas.microsoft.com/office/drawing/2014/chart" uri="{C3380CC4-5D6E-409C-BE32-E72D297353CC}">
              <c16:uniqueId val="{00000000-0936-46ED-BE8B-D5CC5B361182}"/>
            </c:ext>
          </c:extLst>
        </c:ser>
        <c:dLbls>
          <c:showLegendKey val="0"/>
          <c:showVal val="0"/>
          <c:showCatName val="0"/>
          <c:showSerName val="0"/>
          <c:showPercent val="0"/>
          <c:showBubbleSize val="0"/>
        </c:dLbls>
        <c:marker val="1"/>
        <c:smooth val="0"/>
        <c:axId val="262586991"/>
        <c:axId val="262585551"/>
      </c:lineChart>
      <c:catAx>
        <c:axId val="26258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585551"/>
        <c:crosses val="autoZero"/>
        <c:auto val="1"/>
        <c:lblAlgn val="ctr"/>
        <c:lblOffset val="100"/>
        <c:noMultiLvlLbl val="0"/>
      </c:catAx>
      <c:valAx>
        <c:axId val="262585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58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table'!$Y$4:$Y$14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table'!$Z$4:$Z$14</c:f>
              <c:numCache>
                <c:formatCode>General</c:formatCode>
                <c:ptCount val="10"/>
                <c:pt idx="0">
                  <c:v>1739.71</c:v>
                </c:pt>
                <c:pt idx="1">
                  <c:v>5249.649999999996</c:v>
                </c:pt>
                <c:pt idx="2">
                  <c:v>1119.8599999999999</c:v>
                </c:pt>
                <c:pt idx="3">
                  <c:v>7799.7399999999961</c:v>
                </c:pt>
                <c:pt idx="4">
                  <c:v>2399.84</c:v>
                </c:pt>
                <c:pt idx="5">
                  <c:v>3059.6599999999976</c:v>
                </c:pt>
                <c:pt idx="6">
                  <c:v>21599.760000000006</c:v>
                </c:pt>
                <c:pt idx="7">
                  <c:v>6499.7399999999961</c:v>
                </c:pt>
                <c:pt idx="8">
                  <c:v>2999.8499999999995</c:v>
                </c:pt>
                <c:pt idx="9">
                  <c:v>21699.69000000001</c:v>
                </c:pt>
              </c:numCache>
            </c:numRef>
          </c:val>
          <c:extLst>
            <c:ext xmlns:c16="http://schemas.microsoft.com/office/drawing/2014/chart" uri="{C3380CC4-5D6E-409C-BE32-E72D297353CC}">
              <c16:uniqueId val="{00000000-33D9-4C33-97AD-16A0D0A8B955}"/>
            </c:ext>
          </c:extLst>
        </c:ser>
        <c:dLbls>
          <c:showLegendKey val="0"/>
          <c:showVal val="0"/>
          <c:showCatName val="0"/>
          <c:showSerName val="0"/>
          <c:showPercent val="0"/>
          <c:showBubbleSize val="0"/>
        </c:dLbls>
        <c:gapWidth val="100"/>
        <c:overlap val="-24"/>
        <c:axId val="351472911"/>
        <c:axId val="351473871"/>
      </c:barChart>
      <c:catAx>
        <c:axId val="3514729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473871"/>
        <c:crosses val="autoZero"/>
        <c:auto val="1"/>
        <c:lblAlgn val="ctr"/>
        <c:lblOffset val="100"/>
        <c:noMultiLvlLbl val="0"/>
      </c:catAx>
      <c:valAx>
        <c:axId val="351473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47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15301</xdr:colOff>
      <xdr:row>0</xdr:row>
      <xdr:rowOff>30601</xdr:rowOff>
    </xdr:from>
    <xdr:to>
      <xdr:col>25</xdr:col>
      <xdr:colOff>560682</xdr:colOff>
      <xdr:row>3</xdr:row>
      <xdr:rowOff>76505</xdr:rowOff>
    </xdr:to>
    <xdr:sp macro="" textlink="">
      <xdr:nvSpPr>
        <xdr:cNvPr id="3" name="Rectangle: Rounded Corners 2">
          <a:extLst>
            <a:ext uri="{FF2B5EF4-FFF2-40B4-BE49-F238E27FC236}">
              <a16:creationId xmlns:a16="http://schemas.microsoft.com/office/drawing/2014/main" id="{9EFC0728-D398-4EBD-9FC7-05FF17EB73D3}"/>
            </a:ext>
          </a:extLst>
        </xdr:cNvPr>
        <xdr:cNvSpPr/>
      </xdr:nvSpPr>
      <xdr:spPr>
        <a:xfrm>
          <a:off x="15301" y="30601"/>
          <a:ext cx="15846586" cy="589097"/>
        </a:xfrm>
        <a:prstGeom prst="roundRect">
          <a:avLst/>
        </a:prstGeom>
        <a:solidFill>
          <a:schemeClr val="tx2">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                                                                              DASHBOARD</a:t>
          </a:r>
        </a:p>
      </xdr:txBody>
    </xdr:sp>
    <xdr:clientData/>
  </xdr:twoCellAnchor>
  <xdr:twoCellAnchor>
    <xdr:from>
      <xdr:col>0</xdr:col>
      <xdr:colOff>137712</xdr:colOff>
      <xdr:row>4</xdr:row>
      <xdr:rowOff>15300</xdr:rowOff>
    </xdr:from>
    <xdr:to>
      <xdr:col>13</xdr:col>
      <xdr:colOff>573795</xdr:colOff>
      <xdr:row>27</xdr:row>
      <xdr:rowOff>45902</xdr:rowOff>
    </xdr:to>
    <xdr:graphicFrame macro="">
      <xdr:nvGraphicFramePr>
        <xdr:cNvPr id="8" name="Chart 7">
          <a:extLst>
            <a:ext uri="{FF2B5EF4-FFF2-40B4-BE49-F238E27FC236}">
              <a16:creationId xmlns:a16="http://schemas.microsoft.com/office/drawing/2014/main" id="{604AF290-9EE8-4CA0-AA5B-FC0DD8CBC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126948</xdr:colOff>
      <xdr:row>4</xdr:row>
      <xdr:rowOff>14971</xdr:rowOff>
    </xdr:from>
    <xdr:to>
      <xdr:col>17</xdr:col>
      <xdr:colOff>119604</xdr:colOff>
      <xdr:row>13</xdr:row>
      <xdr:rowOff>134779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A1D36AB-DAEA-F6AF-9C51-1D31F28144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20615" y="734638"/>
              <a:ext cx="1834156" cy="1739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581444</xdr:colOff>
      <xdr:row>4</xdr:row>
      <xdr:rowOff>1</xdr:rowOff>
    </xdr:from>
    <xdr:to>
      <xdr:col>25</xdr:col>
      <xdr:colOff>130059</xdr:colOff>
      <xdr:row>14</xdr:row>
      <xdr:rowOff>127000</xdr:rowOff>
    </xdr:to>
    <xdr:graphicFrame macro="">
      <xdr:nvGraphicFramePr>
        <xdr:cNvPr id="10" name="Chart 9">
          <a:extLst>
            <a:ext uri="{FF2B5EF4-FFF2-40B4-BE49-F238E27FC236}">
              <a16:creationId xmlns:a16="http://schemas.microsoft.com/office/drawing/2014/main" id="{93A252FF-F044-4961-B0C8-42142833D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599681</xdr:colOff>
      <xdr:row>15</xdr:row>
      <xdr:rowOff>75359</xdr:rowOff>
    </xdr:from>
    <xdr:to>
      <xdr:col>25</xdr:col>
      <xdr:colOff>117691</xdr:colOff>
      <xdr:row>26</xdr:row>
      <xdr:rowOff>137584</xdr:rowOff>
    </xdr:to>
    <xdr:graphicFrame macro="">
      <xdr:nvGraphicFramePr>
        <xdr:cNvPr id="11" name="Chart 10">
          <a:extLst>
            <a:ext uri="{FF2B5EF4-FFF2-40B4-BE49-F238E27FC236}">
              <a16:creationId xmlns:a16="http://schemas.microsoft.com/office/drawing/2014/main" id="{E9403563-66F9-4147-ABFD-B2E51EB02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148167</xdr:colOff>
      <xdr:row>14</xdr:row>
      <xdr:rowOff>95251</xdr:rowOff>
    </xdr:from>
    <xdr:to>
      <xdr:col>17</xdr:col>
      <xdr:colOff>134006</xdr:colOff>
      <xdr:row>26</xdr:row>
      <xdr:rowOff>127000</xdr:rowOff>
    </xdr:to>
    <mc:AlternateContent xmlns:mc="http://schemas.openxmlformats.org/markup-compatibility/2006" xmlns:a14="http://schemas.microsoft.com/office/drawing/2010/main">
      <mc:Choice Requires="a14">
        <xdr:graphicFrame macro="">
          <xdr:nvGraphicFramePr>
            <xdr:cNvPr id="14" name="Unit_Price 1">
              <a:extLst>
                <a:ext uri="{FF2B5EF4-FFF2-40B4-BE49-F238E27FC236}">
                  <a16:creationId xmlns:a16="http://schemas.microsoft.com/office/drawing/2014/main" id="{428EB5EA-90AE-4975-9547-F34D5A0F60B9}"/>
                </a:ext>
              </a:extLst>
            </xdr:cNvPr>
            <xdr:cNvGraphicFramePr/>
          </xdr:nvGraphicFramePr>
          <xdr:xfrm>
            <a:off x="0" y="0"/>
            <a:ext cx="0" cy="0"/>
          </xdr:xfrm>
          <a:graphic>
            <a:graphicData uri="http://schemas.microsoft.com/office/drawing/2010/slicer">
              <sle:slicer xmlns:sle="http://schemas.microsoft.com/office/drawing/2010/slicer" name="Unit_Price 1"/>
            </a:graphicData>
          </a:graphic>
        </xdr:graphicFrame>
      </mc:Choice>
      <mc:Fallback xmlns="">
        <xdr:sp macro="" textlink="">
          <xdr:nvSpPr>
            <xdr:cNvPr id="0" name=""/>
            <xdr:cNvSpPr>
              <a:spLocks noTextEdit="1"/>
            </xdr:cNvSpPr>
          </xdr:nvSpPr>
          <xdr:spPr>
            <a:xfrm>
              <a:off x="8741834" y="2614084"/>
              <a:ext cx="1827339" cy="219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349250</xdr:colOff>
      <xdr:row>9</xdr:row>
      <xdr:rowOff>171449</xdr:rowOff>
    </xdr:from>
    <xdr:to>
      <xdr:col>19</xdr:col>
      <xdr:colOff>673100</xdr:colOff>
      <xdr:row>21</xdr:row>
      <xdr:rowOff>180974</xdr:rowOff>
    </xdr:to>
    <xdr:graphicFrame macro="">
      <xdr:nvGraphicFramePr>
        <xdr:cNvPr id="2" name="Chart 1">
          <a:extLst>
            <a:ext uri="{FF2B5EF4-FFF2-40B4-BE49-F238E27FC236}">
              <a16:creationId xmlns:a16="http://schemas.microsoft.com/office/drawing/2014/main" id="{50DFA15A-08EA-1F93-EE75-E19C95C47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117475</xdr:colOff>
      <xdr:row>16</xdr:row>
      <xdr:rowOff>8467</xdr:rowOff>
    </xdr:from>
    <xdr:to>
      <xdr:col>24</xdr:col>
      <xdr:colOff>406400</xdr:colOff>
      <xdr:row>29</xdr:row>
      <xdr:rowOff>81493</xdr:rowOff>
    </xdr:to>
    <xdr:graphicFrame macro="">
      <xdr:nvGraphicFramePr>
        <xdr:cNvPr id="3" name="Chart 2">
          <a:extLst>
            <a:ext uri="{FF2B5EF4-FFF2-40B4-BE49-F238E27FC236}">
              <a16:creationId xmlns:a16="http://schemas.microsoft.com/office/drawing/2014/main" id="{F1A7BF47-FF13-CF0C-F634-6C191E5A3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224367</xdr:colOff>
      <xdr:row>15</xdr:row>
      <xdr:rowOff>186265</xdr:rowOff>
    </xdr:from>
    <xdr:to>
      <xdr:col>28</xdr:col>
      <xdr:colOff>321733</xdr:colOff>
      <xdr:row>29</xdr:row>
      <xdr:rowOff>182033</xdr:rowOff>
    </xdr:to>
    <xdr:graphicFrame macro="">
      <xdr:nvGraphicFramePr>
        <xdr:cNvPr id="4" name="Chart 3">
          <a:extLst>
            <a:ext uri="{FF2B5EF4-FFF2-40B4-BE49-F238E27FC236}">
              <a16:creationId xmlns:a16="http://schemas.microsoft.com/office/drawing/2014/main" id="{CB7AC32F-9CAB-6834-83FB-A62D328D0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400049</xdr:colOff>
      <xdr:row>2</xdr:row>
      <xdr:rowOff>55034</xdr:rowOff>
    </xdr:from>
    <xdr:to>
      <xdr:col>28</xdr:col>
      <xdr:colOff>112183</xdr:colOff>
      <xdr:row>15</xdr:row>
      <xdr:rowOff>157692</xdr:rowOff>
    </xdr:to>
    <mc:AlternateContent xmlns:mc="http://schemas.openxmlformats.org/markup-compatibility/2006" xmlns:a14="http://schemas.microsoft.com/office/drawing/2010/main">
      <mc:Choice Requires="a14">
        <xdr:graphicFrame macro="">
          <xdr:nvGraphicFramePr>
            <xdr:cNvPr id="5" name="Product_Name">
              <a:extLst>
                <a:ext uri="{FF2B5EF4-FFF2-40B4-BE49-F238E27FC236}">
                  <a16:creationId xmlns:a16="http://schemas.microsoft.com/office/drawing/2014/main" id="{FBBF1511-A0AF-3E30-DA4B-368F9CE28A0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1128207" y="433806"/>
              <a:ext cx="1817660" cy="256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993516</xdr:colOff>
      <xdr:row>23</xdr:row>
      <xdr:rowOff>77553</xdr:rowOff>
    </xdr:from>
    <xdr:to>
      <xdr:col>19</xdr:col>
      <xdr:colOff>938136</xdr:colOff>
      <xdr:row>36</xdr:row>
      <xdr:rowOff>165776</xdr:rowOff>
    </xdr:to>
    <mc:AlternateContent xmlns:mc="http://schemas.openxmlformats.org/markup-compatibility/2006" xmlns:a14="http://schemas.microsoft.com/office/drawing/2010/main">
      <mc:Choice Requires="a14">
        <xdr:graphicFrame macro="">
          <xdr:nvGraphicFramePr>
            <xdr:cNvPr id="6" name="Unit_Price">
              <a:extLst>
                <a:ext uri="{FF2B5EF4-FFF2-40B4-BE49-F238E27FC236}">
                  <a16:creationId xmlns:a16="http://schemas.microsoft.com/office/drawing/2014/main" id="{B0991613-C0EA-8FC3-D9CA-2B6E555D6D7E}"/>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mlns="">
        <xdr:sp macro="" textlink="">
          <xdr:nvSpPr>
            <xdr:cNvPr id="0" name=""/>
            <xdr:cNvSpPr>
              <a:spLocks noTextEdit="1"/>
            </xdr:cNvSpPr>
          </xdr:nvSpPr>
          <xdr:spPr>
            <a:xfrm>
              <a:off x="2965358" y="4433430"/>
              <a:ext cx="1827339" cy="2550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OSA" refreshedDate="46077.778755208332" createdVersion="8" refreshedVersion="8" minRefreshableVersion="3" recordCount="250" xr:uid="{7364EF73-A4CD-46EC-B482-66E30FA3B1D4}">
  <cacheSource type="worksheet">
    <worksheetSource ref="A1:N251" sheet="Final Project Dataset"/>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ount="9">
        <n v="249.99"/>
        <n v="59.99"/>
        <n v="149.99"/>
        <n v="899.99"/>
        <n v="699.99"/>
        <n v="299.99"/>
        <n v="79.989999999999995"/>
        <n v="89.99"/>
        <n v="199.99"/>
      </sharedItems>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341921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x v="0"/>
    <x v="0"/>
    <x v="0"/>
    <n v="3"/>
    <x v="0"/>
    <s v="Cash"/>
    <x v="0"/>
    <x v="0"/>
    <d v="2021-08-17T00:00:00"/>
    <n v="749.97"/>
  </r>
  <r>
    <s v="TRX0023"/>
    <x v="1"/>
    <s v="CUST013"/>
    <s v="Joseph Jackson"/>
    <x v="0"/>
    <x v="0"/>
    <x v="0"/>
    <n v="3"/>
    <x v="0"/>
    <s v="Credit Card"/>
    <x v="0"/>
    <x v="1"/>
    <d v="2022-01-14T00:00:00"/>
    <n v="749.97"/>
  </r>
  <r>
    <s v="TRX0139"/>
    <x v="2"/>
    <s v="CUST021"/>
    <s v="Kevin Scott"/>
    <x v="1"/>
    <x v="1"/>
    <x v="1"/>
    <n v="3"/>
    <x v="1"/>
    <s v="PayPal"/>
    <x v="1"/>
    <x v="2"/>
    <d v="2023-12-02T00:00:00"/>
    <n v="179.97"/>
  </r>
  <r>
    <s v="TRX0043"/>
    <x v="3"/>
    <s v="CUST046"/>
    <s v="Kathleen Bennett"/>
    <x v="1"/>
    <x v="1"/>
    <x v="1"/>
    <n v="3"/>
    <x v="1"/>
    <s v="Cash"/>
    <x v="2"/>
    <x v="1"/>
    <d v="2023-07-07T00:00:00"/>
    <n v="179.97"/>
  </r>
  <r>
    <s v="TRX0212"/>
    <x v="3"/>
    <s v="CUST003"/>
    <s v="Michael Brown"/>
    <x v="2"/>
    <x v="2"/>
    <x v="2"/>
    <n v="5"/>
    <x v="2"/>
    <s v="Credit Card"/>
    <x v="2"/>
    <x v="1"/>
    <d v="2024-01-04T00:00:00"/>
    <n v="749.95"/>
  </r>
  <r>
    <s v="TRX0092"/>
    <x v="4"/>
    <s v="CUST024"/>
    <s v="Dorothy Nelson"/>
    <x v="1"/>
    <x v="1"/>
    <x v="1"/>
    <n v="2"/>
    <x v="1"/>
    <s v="Cash"/>
    <x v="3"/>
    <x v="2"/>
    <d v="2022-07-04T00:00:00"/>
    <n v="119.98"/>
  </r>
  <r>
    <s v="TRX0193"/>
    <x v="4"/>
    <s v="CUST024"/>
    <s v="Dorothy Nelson"/>
    <x v="3"/>
    <x v="3"/>
    <x v="0"/>
    <n v="5"/>
    <x v="2"/>
    <s v="Credit Card"/>
    <x v="0"/>
    <x v="2"/>
    <d v="2021-08-10T00:00:00"/>
    <n v="749.95"/>
  </r>
  <r>
    <s v="TRX0240"/>
    <x v="4"/>
    <s v="CUST017"/>
    <s v="Charles Allen"/>
    <x v="1"/>
    <x v="1"/>
    <x v="1"/>
    <n v="3"/>
    <x v="1"/>
    <s v="Debit Card"/>
    <x v="1"/>
    <x v="0"/>
    <d v="2023-03-22T00:00:00"/>
    <n v="179.97"/>
  </r>
  <r>
    <s v="TRX0135"/>
    <x v="5"/>
    <s v="CUST009"/>
    <s v="Robert Thomas"/>
    <x v="4"/>
    <x v="4"/>
    <x v="0"/>
    <n v="3"/>
    <x v="3"/>
    <s v="PayPal"/>
    <x v="4"/>
    <x v="2"/>
    <d v="2024-01-08T00:00:00"/>
    <n v="2699.97"/>
  </r>
  <r>
    <s v="TRX0185"/>
    <x v="6"/>
    <s v="CUST026"/>
    <s v="Karen Hill"/>
    <x v="1"/>
    <x v="1"/>
    <x v="1"/>
    <n v="3"/>
    <x v="1"/>
    <s v="Cash"/>
    <x v="3"/>
    <x v="1"/>
    <d v="2023-10-08T00:00:00"/>
    <n v="179.97"/>
  </r>
  <r>
    <s v="TRX0138"/>
    <x v="6"/>
    <s v="CUST022"/>
    <s v="Susan Green"/>
    <x v="2"/>
    <x v="2"/>
    <x v="2"/>
    <n v="1"/>
    <x v="2"/>
    <s v="Credit Card"/>
    <x v="3"/>
    <x v="2"/>
    <d v="2023-06-26T00:00:00"/>
    <n v="149.99"/>
  </r>
  <r>
    <s v="TRX0209"/>
    <x v="6"/>
    <s v="CUST046"/>
    <s v="Kathleen Bennett"/>
    <x v="2"/>
    <x v="2"/>
    <x v="2"/>
    <n v="5"/>
    <x v="2"/>
    <s v="Debit Card"/>
    <x v="2"/>
    <x v="0"/>
    <d v="2022-09-26T00:00:00"/>
    <n v="749.95"/>
  </r>
  <r>
    <s v="TRX0246"/>
    <x v="6"/>
    <s v="CUST041"/>
    <s v="Peter Richardson"/>
    <x v="2"/>
    <x v="2"/>
    <x v="2"/>
    <n v="3"/>
    <x v="2"/>
    <s v="Cash"/>
    <x v="2"/>
    <x v="1"/>
    <d v="2022-09-02T00:00:00"/>
    <n v="449.97"/>
  </r>
  <r>
    <s v="TRX0067"/>
    <x v="7"/>
    <s v="CUST043"/>
    <s v="Dennis Gray"/>
    <x v="1"/>
    <x v="1"/>
    <x v="1"/>
    <n v="3"/>
    <x v="1"/>
    <s v="Credit Card"/>
    <x v="2"/>
    <x v="2"/>
    <d v="2024-02-29T00:00:00"/>
    <n v="179.97"/>
  </r>
  <r>
    <s v="TRX0191"/>
    <x v="7"/>
    <s v="CUST038"/>
    <s v="Michelle Rogers"/>
    <x v="5"/>
    <x v="5"/>
    <x v="0"/>
    <n v="3"/>
    <x v="4"/>
    <s v="Credit Card"/>
    <x v="3"/>
    <x v="0"/>
    <d v="2022-01-16T00:00:00"/>
    <n v="2099.9699999999998"/>
  </r>
  <r>
    <s v="TRX0230"/>
    <x v="7"/>
    <s v="CUST027"/>
    <s v="George Adams"/>
    <x v="4"/>
    <x v="4"/>
    <x v="0"/>
    <n v="1"/>
    <x v="3"/>
    <s v="Debit Card"/>
    <x v="2"/>
    <x v="2"/>
    <d v="2022-12-25T00:00:00"/>
    <n v="899.99"/>
  </r>
  <r>
    <s v="TRX0049"/>
    <x v="8"/>
    <s v="CUST025"/>
    <s v="Mark Carter"/>
    <x v="2"/>
    <x v="2"/>
    <x v="2"/>
    <n v="4"/>
    <x v="2"/>
    <s v="Debit Card"/>
    <x v="2"/>
    <x v="1"/>
    <d v="2024-03-23T00:00:00"/>
    <n v="599.96"/>
  </r>
  <r>
    <s v="TRX0134"/>
    <x v="8"/>
    <s v="CUST010"/>
    <s v="Maria Garcia"/>
    <x v="5"/>
    <x v="5"/>
    <x v="0"/>
    <n v="2"/>
    <x v="4"/>
    <s v="Cash"/>
    <x v="2"/>
    <x v="0"/>
    <d v="2022-08-08T00:00:00"/>
    <n v="1399.98"/>
  </r>
  <r>
    <s v="TRX0122"/>
    <x v="8"/>
    <s v="CUST025"/>
    <s v="Mark Carter"/>
    <x v="4"/>
    <x v="4"/>
    <x v="0"/>
    <n v="4"/>
    <x v="3"/>
    <s v="Credit Card"/>
    <x v="3"/>
    <x v="2"/>
    <d v="2024-02-05T00:00:00"/>
    <n v="3599.96"/>
  </r>
  <r>
    <s v="TRX0222"/>
    <x v="8"/>
    <s v="CUST048"/>
    <s v="Virginia Sanders"/>
    <x v="0"/>
    <x v="0"/>
    <x v="0"/>
    <n v="3"/>
    <x v="0"/>
    <s v="Credit Card"/>
    <x v="2"/>
    <x v="1"/>
    <d v="2023-10-25T00:00:00"/>
    <n v="749.97"/>
  </r>
  <r>
    <s v="TRX0231"/>
    <x v="9"/>
    <s v="CUST018"/>
    <s v="Barbara Young"/>
    <x v="5"/>
    <x v="5"/>
    <x v="0"/>
    <n v="5"/>
    <x v="4"/>
    <s v="Cash"/>
    <x v="3"/>
    <x v="0"/>
    <d v="2023-08-29T00:00:00"/>
    <n v="3499.95"/>
  </r>
  <r>
    <s v="TRX0239"/>
    <x v="10"/>
    <s v="CUST012"/>
    <s v="Patricia Moore"/>
    <x v="5"/>
    <x v="5"/>
    <x v="0"/>
    <n v="4"/>
    <x v="4"/>
    <s v="Cash"/>
    <x v="4"/>
    <x v="2"/>
    <d v="2021-08-01T00:00:00"/>
    <n v="2799.96"/>
  </r>
  <r>
    <s v="TRX0204"/>
    <x v="11"/>
    <s v="CUST044"/>
    <s v="Cynthia Price"/>
    <x v="0"/>
    <x v="0"/>
    <x v="0"/>
    <n v="4"/>
    <x v="0"/>
    <s v="PayPal"/>
    <x v="2"/>
    <x v="2"/>
    <d v="2021-09-29T00:00:00"/>
    <n v="999.96"/>
  </r>
  <r>
    <s v="TRX0242"/>
    <x v="12"/>
    <s v="CUST025"/>
    <s v="Mark Carter"/>
    <x v="6"/>
    <x v="6"/>
    <x v="2"/>
    <n v="4"/>
    <x v="5"/>
    <s v="Cash"/>
    <x v="3"/>
    <x v="1"/>
    <d v="2022-06-04T00:00:00"/>
    <n v="1199.96"/>
  </r>
  <r>
    <s v="TRX0071"/>
    <x v="13"/>
    <s v="CUST036"/>
    <s v="Nancy Collins"/>
    <x v="0"/>
    <x v="0"/>
    <x v="0"/>
    <n v="5"/>
    <x v="0"/>
    <s v="Credit Card"/>
    <x v="3"/>
    <x v="2"/>
    <d v="2021-11-25T00:00:00"/>
    <n v="1249.95"/>
  </r>
  <r>
    <s v="TRX0040"/>
    <x v="14"/>
    <s v="CUST022"/>
    <s v="Susan Green"/>
    <x v="6"/>
    <x v="6"/>
    <x v="2"/>
    <n v="5"/>
    <x v="5"/>
    <s v="PayPal"/>
    <x v="4"/>
    <x v="0"/>
    <d v="2023-08-30T00:00:00"/>
    <n v="1499.95"/>
  </r>
  <r>
    <s v="TRX0235"/>
    <x v="14"/>
    <s v="CUST014"/>
    <s v="Linda Martin"/>
    <x v="7"/>
    <x v="7"/>
    <x v="1"/>
    <n v="3"/>
    <x v="6"/>
    <s v="PayPal"/>
    <x v="4"/>
    <x v="1"/>
    <d v="2023-03-27T00:00:00"/>
    <n v="239.97"/>
  </r>
  <r>
    <s v="TRX0004"/>
    <x v="14"/>
    <s v="CUST012"/>
    <s v="Patricia Moore"/>
    <x v="8"/>
    <x v="8"/>
    <x v="0"/>
    <n v="5"/>
    <x v="7"/>
    <s v="Cash"/>
    <x v="2"/>
    <x v="1"/>
    <d v="2022-12-24T00:00:00"/>
    <n v="449.95"/>
  </r>
  <r>
    <s v="TRX0063"/>
    <x v="15"/>
    <s v="CUST030"/>
    <s v="Helen Roberts"/>
    <x v="1"/>
    <x v="1"/>
    <x v="1"/>
    <n v="2"/>
    <x v="1"/>
    <s v="Debit Card"/>
    <x v="0"/>
    <x v="2"/>
    <d v="2023-10-15T00:00:00"/>
    <n v="119.98"/>
  </r>
  <r>
    <s v="TRX0241"/>
    <x v="16"/>
    <s v="CUST029"/>
    <s v="Edwa+D31:E72rd Mitchell"/>
    <x v="1"/>
    <x v="1"/>
    <x v="1"/>
    <n v="4"/>
    <x v="1"/>
    <s v="Debit Card"/>
    <x v="4"/>
    <x v="2"/>
    <d v="2022-11-02T00:00:00"/>
    <n v="239.96"/>
  </r>
  <r>
    <s v="TRX0029"/>
    <x v="16"/>
    <s v="CUST017"/>
    <s v="Charles Allen"/>
    <x v="9"/>
    <x v="9"/>
    <x v="2"/>
    <n v="5"/>
    <x v="8"/>
    <s v="Cash"/>
    <x v="1"/>
    <x v="2"/>
    <d v="2021-08-04T00:00:00"/>
    <n v="999.95"/>
  </r>
  <r>
    <s v="TRX0194"/>
    <x v="17"/>
    <s v="CUST006"/>
    <s v="Lisa Anderson"/>
    <x v="2"/>
    <x v="2"/>
    <x v="2"/>
    <n v="2"/>
    <x v="2"/>
    <s v="Credit Card"/>
    <x v="3"/>
    <x v="0"/>
    <d v="2022-09-19T00:00:00"/>
    <n v="299.98"/>
  </r>
  <r>
    <s v="TRX0130"/>
    <x v="18"/>
    <s v="CUST002"/>
    <s v="Emma Wilson"/>
    <x v="2"/>
    <x v="2"/>
    <x v="2"/>
    <n v="3"/>
    <x v="2"/>
    <s v="Credit Card"/>
    <x v="3"/>
    <x v="1"/>
    <d v="2023-05-22T00:00:00"/>
    <n v="449.97"/>
  </r>
  <r>
    <s v="TRX0041"/>
    <x v="19"/>
    <s v="CUST021"/>
    <s v="Kevin Scott"/>
    <x v="4"/>
    <x v="4"/>
    <x v="0"/>
    <n v="1"/>
    <x v="3"/>
    <s v="Credit Card"/>
    <x v="3"/>
    <x v="1"/>
    <d v="2022-01-17T00:00:00"/>
    <n v="899.99"/>
  </r>
  <r>
    <s v="TRX0232"/>
    <x v="20"/>
    <s v="CUST012"/>
    <s v="Patricia Moore"/>
    <x v="6"/>
    <x v="6"/>
    <x v="2"/>
    <n v="3"/>
    <x v="5"/>
    <s v="Credit Card"/>
    <x v="4"/>
    <x v="0"/>
    <d v="2022-09-20T00:00:00"/>
    <n v="899.97"/>
  </r>
  <r>
    <s v="TRX0021"/>
    <x v="21"/>
    <s v="CUST006"/>
    <s v="Lisa Anderson"/>
    <x v="7"/>
    <x v="7"/>
    <x v="1"/>
    <n v="3"/>
    <x v="6"/>
    <s v="Cash"/>
    <x v="1"/>
    <x v="0"/>
    <d v="2023-04-30T00:00:00"/>
    <n v="239.97"/>
  </r>
  <r>
    <s v="TRX0245"/>
    <x v="22"/>
    <s v="CUST031"/>
    <s v="Steven Turner"/>
    <x v="9"/>
    <x v="9"/>
    <x v="2"/>
    <n v="3"/>
    <x v="8"/>
    <s v="Credit Card"/>
    <x v="2"/>
    <x v="1"/>
    <d v="2024-01-01T00:00:00"/>
    <n v="599.97"/>
  </r>
  <r>
    <s v="TRX0015"/>
    <x v="23"/>
    <s v="CUST008"/>
    <s v="Jennifer Taylor"/>
    <x v="5"/>
    <x v="5"/>
    <x v="0"/>
    <n v="5"/>
    <x v="4"/>
    <s v="PayPal"/>
    <x v="3"/>
    <x v="2"/>
    <d v="2021-07-30T00:00:00"/>
    <n v="3499.95"/>
  </r>
  <r>
    <s v="TRX0202"/>
    <x v="24"/>
    <s v="CUST035"/>
    <s v="Harry Morgan"/>
    <x v="8"/>
    <x v="8"/>
    <x v="0"/>
    <n v="3"/>
    <x v="7"/>
    <s v="PayPal"/>
    <x v="0"/>
    <x v="1"/>
    <d v="2023-07-13T00:00:00"/>
    <n v="269.97000000000003"/>
  </r>
  <r>
    <s v="TRX0042"/>
    <x v="25"/>
    <s v="CUST019"/>
    <s v="Daniel King"/>
    <x v="7"/>
    <x v="7"/>
    <x v="1"/>
    <n v="1"/>
    <x v="6"/>
    <s v="Cash"/>
    <x v="2"/>
    <x v="2"/>
    <d v="2022-12-22T00:00:00"/>
    <n v="79.989999999999995"/>
  </r>
  <r>
    <s v="TRX0128"/>
    <x v="26"/>
    <s v="CUST040"/>
    <s v="Sharon Butler"/>
    <x v="1"/>
    <x v="1"/>
    <x v="1"/>
    <n v="2"/>
    <x v="1"/>
    <s v="Cash"/>
    <x v="3"/>
    <x v="0"/>
    <d v="2024-04-08T00:00:00"/>
    <n v="119.98"/>
  </r>
  <r>
    <s v="TRX0117"/>
    <x v="26"/>
    <s v="CUST017"/>
    <s v="Charles Allen"/>
    <x v="8"/>
    <x v="8"/>
    <x v="0"/>
    <n v="1"/>
    <x v="7"/>
    <s v="Cash"/>
    <x v="2"/>
    <x v="0"/>
    <d v="2023-08-03T00:00:00"/>
    <n v="89.99"/>
  </r>
  <r>
    <s v="TRX0208"/>
    <x v="27"/>
    <s v="CUST004"/>
    <s v="Sarah Davis"/>
    <x v="8"/>
    <x v="8"/>
    <x v="0"/>
    <n v="5"/>
    <x v="7"/>
    <s v="Credit Card"/>
    <x v="4"/>
    <x v="2"/>
    <d v="2022-01-26T00:00:00"/>
    <n v="449.95"/>
  </r>
  <r>
    <s v="TRX0234"/>
    <x v="28"/>
    <s v="CUST013"/>
    <s v="Joseph Jackson"/>
    <x v="0"/>
    <x v="0"/>
    <x v="0"/>
    <n v="5"/>
    <x v="0"/>
    <s v="Credit Card"/>
    <x v="4"/>
    <x v="2"/>
    <d v="2022-05-26T00:00:00"/>
    <n v="1249.95"/>
  </r>
  <r>
    <s v="TRX0121"/>
    <x v="28"/>
    <s v="CUST028"/>
    <s v="Betty Campbell"/>
    <x v="8"/>
    <x v="8"/>
    <x v="0"/>
    <n v="1"/>
    <x v="7"/>
    <s v="Credit Card"/>
    <x v="1"/>
    <x v="2"/>
    <d v="2022-01-21T00:00:00"/>
    <n v="89.99"/>
  </r>
  <r>
    <s v="TRX0220"/>
    <x v="29"/>
    <s v="CUST003"/>
    <s v="Michael Brown"/>
    <x v="2"/>
    <x v="2"/>
    <x v="2"/>
    <n v="2"/>
    <x v="2"/>
    <s v="Cash"/>
    <x v="4"/>
    <x v="1"/>
    <d v="2022-03-25T00:00:00"/>
    <n v="299.98"/>
  </r>
  <r>
    <s v="TRX0093"/>
    <x v="30"/>
    <s v="CUST050"/>
    <s v="Julie Foster"/>
    <x v="1"/>
    <x v="1"/>
    <x v="1"/>
    <n v="4"/>
    <x v="1"/>
    <s v="Cash"/>
    <x v="4"/>
    <x v="2"/>
    <d v="2021-08-27T00:00:00"/>
    <n v="239.96"/>
  </r>
  <r>
    <s v="TRX0088"/>
    <x v="31"/>
    <s v="CUST006"/>
    <s v="Lisa Anderson"/>
    <x v="8"/>
    <x v="8"/>
    <x v="0"/>
    <n v="5"/>
    <x v="7"/>
    <s v="Cash"/>
    <x v="0"/>
    <x v="1"/>
    <d v="2022-01-18T00:00:00"/>
    <n v="449.95"/>
  </r>
  <r>
    <s v="TRX0115"/>
    <x v="32"/>
    <s v="CUST012"/>
    <s v="Patricia Moore"/>
    <x v="8"/>
    <x v="8"/>
    <x v="0"/>
    <n v="2"/>
    <x v="7"/>
    <s v="Credit Card"/>
    <x v="1"/>
    <x v="1"/>
    <d v="2021-10-02T00:00:00"/>
    <n v="179.98"/>
  </r>
  <r>
    <s v="TRX0154"/>
    <x v="32"/>
    <s v="CUST023"/>
    <s v="Paul Baker"/>
    <x v="4"/>
    <x v="4"/>
    <x v="0"/>
    <n v="5"/>
    <x v="3"/>
    <s v="Credit Card"/>
    <x v="1"/>
    <x v="2"/>
    <d v="2023-02-17T00:00:00"/>
    <n v="4499.95"/>
  </r>
  <r>
    <s v="TRX0044"/>
    <x v="32"/>
    <s v="CUST029"/>
    <s v="Edward Mitchell"/>
    <x v="4"/>
    <x v="4"/>
    <x v="0"/>
    <n v="5"/>
    <x v="3"/>
    <s v="PayPal"/>
    <x v="4"/>
    <x v="1"/>
    <d v="2023-12-18T00:00:00"/>
    <n v="4499.95"/>
  </r>
  <r>
    <s v="TRX0061"/>
    <x v="33"/>
    <s v="CUST028"/>
    <s v="Betty Campbell"/>
    <x v="1"/>
    <x v="1"/>
    <x v="1"/>
    <n v="1"/>
    <x v="1"/>
    <s v="Debit Card"/>
    <x v="3"/>
    <x v="1"/>
    <d v="2023-09-21T00:00:00"/>
    <n v="59.99"/>
  </r>
  <r>
    <s v="TRX0150"/>
    <x v="33"/>
    <s v="CUST008"/>
    <s v="Jennifer Taylor"/>
    <x v="6"/>
    <x v="6"/>
    <x v="2"/>
    <n v="2"/>
    <x v="5"/>
    <s v="Debit Card"/>
    <x v="4"/>
    <x v="2"/>
    <d v="2023-11-23T00:00:00"/>
    <n v="599.98"/>
  </r>
  <r>
    <s v="TRX0025"/>
    <x v="34"/>
    <s v="CUST049"/>
    <s v="Raymond Ross"/>
    <x v="8"/>
    <x v="8"/>
    <x v="0"/>
    <n v="4"/>
    <x v="7"/>
    <s v="Debit Card"/>
    <x v="1"/>
    <x v="0"/>
    <d v="2023-12-21T00:00:00"/>
    <n v="359.96"/>
  </r>
  <r>
    <s v="TRX0078"/>
    <x v="35"/>
    <s v="CUST021"/>
    <s v="Kevin Scott"/>
    <x v="7"/>
    <x v="7"/>
    <x v="1"/>
    <n v="1"/>
    <x v="6"/>
    <s v="PayPal"/>
    <x v="0"/>
    <x v="1"/>
    <d v="2024-03-01T00:00:00"/>
    <n v="79.989999999999995"/>
  </r>
  <r>
    <s v="TRX0007"/>
    <x v="35"/>
    <s v="CUST009"/>
    <s v="Robert Thomas"/>
    <x v="8"/>
    <x v="8"/>
    <x v="0"/>
    <n v="2"/>
    <x v="7"/>
    <s v="Cash"/>
    <x v="3"/>
    <x v="0"/>
    <d v="2021-08-30T00:00:00"/>
    <n v="179.98"/>
  </r>
  <r>
    <s v="TRX0184"/>
    <x v="36"/>
    <s v="CUST046"/>
    <s v="Kathleen Bennett"/>
    <x v="5"/>
    <x v="5"/>
    <x v="0"/>
    <n v="3"/>
    <x v="4"/>
    <s v="Credit Card"/>
    <x v="4"/>
    <x v="1"/>
    <d v="2023-06-25T00:00:00"/>
    <n v="2099.9699999999998"/>
  </r>
  <r>
    <s v="TRX0104"/>
    <x v="36"/>
    <s v="CUST012"/>
    <s v="Patricia Moore"/>
    <x v="4"/>
    <x v="4"/>
    <x v="0"/>
    <n v="4"/>
    <x v="3"/>
    <s v="Credit Card"/>
    <x v="4"/>
    <x v="1"/>
    <d v="2023-03-08T00:00:00"/>
    <n v="3599.96"/>
  </r>
  <r>
    <s v="TRX0127"/>
    <x v="37"/>
    <s v="CUST030"/>
    <s v="Helen Roberts"/>
    <x v="2"/>
    <x v="2"/>
    <x v="2"/>
    <n v="1"/>
    <x v="2"/>
    <s v="PayPal"/>
    <x v="4"/>
    <x v="0"/>
    <d v="2022-10-17T00:00:00"/>
    <n v="149.99"/>
  </r>
  <r>
    <s v="TRX0096"/>
    <x v="38"/>
    <s v="CUST002"/>
    <s v="Emma Wilson"/>
    <x v="8"/>
    <x v="8"/>
    <x v="0"/>
    <n v="2"/>
    <x v="7"/>
    <s v="PayPal"/>
    <x v="0"/>
    <x v="1"/>
    <d v="2023-12-15T00:00:00"/>
    <n v="179.98"/>
  </r>
  <r>
    <s v="TRX0192"/>
    <x v="39"/>
    <s v="CUST017"/>
    <s v="Charles Allen"/>
    <x v="8"/>
    <x v="8"/>
    <x v="0"/>
    <n v="1"/>
    <x v="7"/>
    <s v="PayPal"/>
    <x v="3"/>
    <x v="2"/>
    <d v="2022-08-29T00:00:00"/>
    <n v="89.99"/>
  </r>
  <r>
    <s v="TRX0052"/>
    <x v="40"/>
    <s v="CUST022"/>
    <s v="Susan Green"/>
    <x v="8"/>
    <x v="8"/>
    <x v="0"/>
    <n v="1"/>
    <x v="7"/>
    <s v="Cash"/>
    <x v="1"/>
    <x v="2"/>
    <d v="2022-02-19T00:00:00"/>
    <n v="89.99"/>
  </r>
  <r>
    <s v="TRX0070"/>
    <x v="40"/>
    <s v="CUST007"/>
    <s v="David Martinez"/>
    <x v="7"/>
    <x v="7"/>
    <x v="1"/>
    <n v="5"/>
    <x v="6"/>
    <s v="Debit Card"/>
    <x v="0"/>
    <x v="0"/>
    <d v="2023-02-24T00:00:00"/>
    <n v="399.95"/>
  </r>
  <r>
    <s v="TRX0086"/>
    <x v="41"/>
    <s v="CUST020"/>
    <s v="Margaret Wright"/>
    <x v="2"/>
    <x v="2"/>
    <x v="2"/>
    <n v="1"/>
    <x v="2"/>
    <s v="PayPal"/>
    <x v="2"/>
    <x v="0"/>
    <d v="2021-08-13T00:00:00"/>
    <n v="149.99"/>
  </r>
  <r>
    <s v="TRX0113"/>
    <x v="41"/>
    <s v="CUST003"/>
    <s v="Michael Brown"/>
    <x v="5"/>
    <x v="5"/>
    <x v="0"/>
    <n v="2"/>
    <x v="4"/>
    <s v="PayPal"/>
    <x v="4"/>
    <x v="1"/>
    <d v="2024-04-07T00:00:00"/>
    <n v="1399.98"/>
  </r>
  <r>
    <s v="TRX0114"/>
    <x v="41"/>
    <s v="CUST018"/>
    <s v="Barbara Young"/>
    <x v="8"/>
    <x v="8"/>
    <x v="0"/>
    <n v="5"/>
    <x v="7"/>
    <s v="Debit Card"/>
    <x v="2"/>
    <x v="1"/>
    <d v="2023-08-23T00:00:00"/>
    <n v="449.95"/>
  </r>
  <r>
    <s v="TRX0136"/>
    <x v="42"/>
    <s v="CUST049"/>
    <s v="Raymond Ross"/>
    <x v="1"/>
    <x v="1"/>
    <x v="1"/>
    <n v="4"/>
    <x v="1"/>
    <s v="Cash"/>
    <x v="1"/>
    <x v="2"/>
    <d v="2021-11-09T00:00:00"/>
    <n v="239.96"/>
  </r>
  <r>
    <s v="TRX0018"/>
    <x v="43"/>
    <s v="CUST013"/>
    <s v="Joseph Jackson"/>
    <x v="3"/>
    <x v="3"/>
    <x v="0"/>
    <n v="1"/>
    <x v="2"/>
    <s v="Cash"/>
    <x v="0"/>
    <x v="2"/>
    <d v="2022-12-14T00:00:00"/>
    <n v="149.99"/>
  </r>
  <r>
    <s v="TRX0141"/>
    <x v="43"/>
    <s v="CUST033"/>
    <s v="Frank Torres"/>
    <x v="6"/>
    <x v="6"/>
    <x v="2"/>
    <n v="1"/>
    <x v="5"/>
    <s v="Credit Card"/>
    <x v="2"/>
    <x v="1"/>
    <d v="2022-11-26T00:00:00"/>
    <n v="299.99"/>
  </r>
  <r>
    <s v="TRX0097"/>
    <x v="44"/>
    <s v="CUST033"/>
    <s v="Frank Torres"/>
    <x v="9"/>
    <x v="9"/>
    <x v="2"/>
    <n v="2"/>
    <x v="8"/>
    <s v="Cash"/>
    <x v="2"/>
    <x v="0"/>
    <d v="2021-12-11T00:00:00"/>
    <n v="399.98"/>
  </r>
  <r>
    <s v="TRX0169"/>
    <x v="45"/>
    <s v="CUST047"/>
    <s v="Gerald Murphy"/>
    <x v="1"/>
    <x v="1"/>
    <x v="1"/>
    <n v="3"/>
    <x v="1"/>
    <s v="Credit Card"/>
    <x v="3"/>
    <x v="0"/>
    <d v="2023-07-23T00:00:00"/>
    <n v="179.97"/>
  </r>
  <r>
    <s v="TRX0216"/>
    <x v="45"/>
    <s v="CUST041"/>
    <s v="Peter Richardson"/>
    <x v="2"/>
    <x v="2"/>
    <x v="2"/>
    <n v="3"/>
    <x v="2"/>
    <s v="Cash"/>
    <x v="0"/>
    <x v="1"/>
    <d v="2023-09-30T00:00:00"/>
    <n v="449.97"/>
  </r>
  <r>
    <s v="TRX0131"/>
    <x v="46"/>
    <s v="CUST026"/>
    <s v="Karen Hill"/>
    <x v="9"/>
    <x v="9"/>
    <x v="2"/>
    <n v="3"/>
    <x v="8"/>
    <s v="Cash"/>
    <x v="2"/>
    <x v="1"/>
    <d v="2023-11-24T00:00:00"/>
    <n v="599.97"/>
  </r>
  <r>
    <s v="TRX0162"/>
    <x v="47"/>
    <s v="CUST040"/>
    <s v="Sharon Butler"/>
    <x v="4"/>
    <x v="4"/>
    <x v="0"/>
    <n v="1"/>
    <x v="3"/>
    <s v="Cash"/>
    <x v="0"/>
    <x v="2"/>
    <d v="2023-09-10T00:00:00"/>
    <n v="899.99"/>
  </r>
  <r>
    <s v="TRX0244"/>
    <x v="48"/>
    <s v="CUST013"/>
    <s v="Joseph Jackson"/>
    <x v="4"/>
    <x v="4"/>
    <x v="0"/>
    <n v="5"/>
    <x v="3"/>
    <s v="Debit Card"/>
    <x v="1"/>
    <x v="2"/>
    <d v="2022-12-04T00:00:00"/>
    <n v="4499.95"/>
  </r>
  <r>
    <s v="TRX0006"/>
    <x v="49"/>
    <s v="CUST007"/>
    <s v="David Martinez"/>
    <x v="1"/>
    <x v="1"/>
    <x v="1"/>
    <n v="2"/>
    <x v="1"/>
    <s v="Cash"/>
    <x v="2"/>
    <x v="2"/>
    <d v="2023-08-14T00:00:00"/>
    <n v="119.98"/>
  </r>
  <r>
    <s v="TRX0215"/>
    <x v="49"/>
    <s v="CUST047"/>
    <s v="Gerald Murphy"/>
    <x v="0"/>
    <x v="0"/>
    <x v="0"/>
    <n v="4"/>
    <x v="0"/>
    <s v="Debit Card"/>
    <x v="0"/>
    <x v="2"/>
    <d v="2023-07-20T00:00:00"/>
    <n v="999.96"/>
  </r>
  <r>
    <s v="TRX0080"/>
    <x v="50"/>
    <s v="CUST018"/>
    <s v="Barbara Young"/>
    <x v="0"/>
    <x v="0"/>
    <x v="0"/>
    <n v="2"/>
    <x v="0"/>
    <s v="Cash"/>
    <x v="2"/>
    <x v="1"/>
    <d v="2023-08-26T00:00:00"/>
    <n v="499.98"/>
  </r>
  <r>
    <s v="TRX0228"/>
    <x v="50"/>
    <s v="CUST019"/>
    <s v="Daniel King"/>
    <x v="6"/>
    <x v="6"/>
    <x v="2"/>
    <n v="1"/>
    <x v="5"/>
    <s v="Cash"/>
    <x v="1"/>
    <x v="0"/>
    <d v="2023-02-25T00:00:00"/>
    <n v="299.99"/>
  </r>
  <r>
    <s v="TRX0157"/>
    <x v="51"/>
    <s v="CUST025"/>
    <s v="Mark Carter"/>
    <x v="8"/>
    <x v="8"/>
    <x v="0"/>
    <n v="2"/>
    <x v="7"/>
    <s v="PayPal"/>
    <x v="1"/>
    <x v="0"/>
    <d v="2023-02-19T00:00:00"/>
    <n v="179.98"/>
  </r>
  <r>
    <s v="TRX0002"/>
    <x v="51"/>
    <s v="CUST019"/>
    <s v="Daniel King"/>
    <x v="6"/>
    <x v="6"/>
    <x v="2"/>
    <n v="3"/>
    <x v="5"/>
    <s v="Cash"/>
    <x v="0"/>
    <x v="0"/>
    <d v="2022-06-20T00:00:00"/>
    <n v="899.97"/>
  </r>
  <r>
    <s v="TRX0217"/>
    <x v="52"/>
    <s v="CUST025"/>
    <s v="Mark Carter"/>
    <x v="5"/>
    <x v="5"/>
    <x v="0"/>
    <n v="2"/>
    <x v="4"/>
    <s v="Credit Card"/>
    <x v="2"/>
    <x v="1"/>
    <d v="2023-03-14T00:00:00"/>
    <n v="1399.98"/>
  </r>
  <r>
    <s v="TRX0249"/>
    <x v="53"/>
    <s v="CUST030"/>
    <s v="Helen Roberts"/>
    <x v="4"/>
    <x v="4"/>
    <x v="0"/>
    <n v="4"/>
    <x v="3"/>
    <s v="Debit Card"/>
    <x v="1"/>
    <x v="2"/>
    <d v="2021-11-23T00:00:00"/>
    <n v="3599.96"/>
  </r>
  <r>
    <s v="TRX0065"/>
    <x v="54"/>
    <s v="CUST016"/>
    <s v="Elizabeth Hall"/>
    <x v="2"/>
    <x v="2"/>
    <x v="2"/>
    <n v="2"/>
    <x v="2"/>
    <s v="Credit Card"/>
    <x v="3"/>
    <x v="0"/>
    <d v="2021-12-12T00:00:00"/>
    <n v="299.98"/>
  </r>
  <r>
    <s v="TRX0176"/>
    <x v="55"/>
    <s v="CUST044"/>
    <s v="Cynthia Price"/>
    <x v="2"/>
    <x v="2"/>
    <x v="2"/>
    <n v="2"/>
    <x v="2"/>
    <s v="Debit Card"/>
    <x v="4"/>
    <x v="2"/>
    <d v="2022-04-16T00:00:00"/>
    <n v="299.98"/>
  </r>
  <r>
    <s v="TRX0101"/>
    <x v="56"/>
    <s v="CUST010"/>
    <s v="Maria Garcia"/>
    <x v="8"/>
    <x v="8"/>
    <x v="0"/>
    <n v="1"/>
    <x v="7"/>
    <s v="Credit Card"/>
    <x v="2"/>
    <x v="2"/>
    <d v="2024-04-11T00:00:00"/>
    <n v="89.99"/>
  </r>
  <r>
    <s v="TRX0205"/>
    <x v="57"/>
    <s v="CUST025"/>
    <s v="Mark Carter"/>
    <x v="6"/>
    <x v="6"/>
    <x v="2"/>
    <n v="5"/>
    <x v="5"/>
    <s v="Credit Card"/>
    <x v="2"/>
    <x v="0"/>
    <d v="2023-02-08T00:00:00"/>
    <n v="1499.95"/>
  </r>
  <r>
    <s v="TRX0020"/>
    <x v="58"/>
    <s v="CUST007"/>
    <s v="David Martinez"/>
    <x v="3"/>
    <x v="3"/>
    <x v="0"/>
    <n v="4"/>
    <x v="2"/>
    <s v="Debit Card"/>
    <x v="1"/>
    <x v="1"/>
    <d v="2022-09-16T00:00:00"/>
    <n v="599.96"/>
  </r>
  <r>
    <s v="TRX0075"/>
    <x v="58"/>
    <s v="CUST020"/>
    <s v="Margaret Wright"/>
    <x v="0"/>
    <x v="0"/>
    <x v="0"/>
    <n v="5"/>
    <x v="0"/>
    <s v="PayPal"/>
    <x v="4"/>
    <x v="1"/>
    <d v="2022-08-09T00:00:00"/>
    <n v="1249.95"/>
  </r>
  <r>
    <s v="TRX0098"/>
    <x v="58"/>
    <s v="CUST026"/>
    <s v="Karen Hill"/>
    <x v="0"/>
    <x v="0"/>
    <x v="0"/>
    <n v="3"/>
    <x v="0"/>
    <s v="PayPal"/>
    <x v="2"/>
    <x v="1"/>
    <d v="2021-09-26T00:00:00"/>
    <n v="749.97"/>
  </r>
  <r>
    <s v="TRX0247"/>
    <x v="58"/>
    <s v="CUST046"/>
    <s v="Kathleen Bennett"/>
    <x v="9"/>
    <x v="9"/>
    <x v="2"/>
    <n v="4"/>
    <x v="8"/>
    <s v="Cash"/>
    <x v="2"/>
    <x v="2"/>
    <d v="2021-09-19T00:00:00"/>
    <n v="799.96"/>
  </r>
  <r>
    <s v="TRX0027"/>
    <x v="59"/>
    <s v="CUST028"/>
    <s v="Betty Campbell"/>
    <x v="9"/>
    <x v="9"/>
    <x v="2"/>
    <n v="5"/>
    <x v="8"/>
    <s v="Cash"/>
    <x v="2"/>
    <x v="1"/>
    <d v="2023-03-06T00:00:00"/>
    <n v="999.95"/>
  </r>
  <r>
    <s v="TRX0140"/>
    <x v="60"/>
    <s v="CUST025"/>
    <s v="Mark Carter"/>
    <x v="8"/>
    <x v="8"/>
    <x v="0"/>
    <n v="2"/>
    <x v="7"/>
    <s v="Cash"/>
    <x v="4"/>
    <x v="1"/>
    <d v="2023-02-15T00:00:00"/>
    <n v="179.98"/>
  </r>
  <r>
    <s v="TRX0132"/>
    <x v="61"/>
    <s v="CUST047"/>
    <s v="Gerald Murphy"/>
    <x v="4"/>
    <x v="4"/>
    <x v="0"/>
    <n v="5"/>
    <x v="3"/>
    <s v="Debit Card"/>
    <x v="4"/>
    <x v="0"/>
    <d v="2021-11-26T00:00:00"/>
    <n v="4499.95"/>
  </r>
  <r>
    <s v="TRX0031"/>
    <x v="61"/>
    <s v="CUST036"/>
    <s v="Nancy Collins"/>
    <x v="3"/>
    <x v="3"/>
    <x v="0"/>
    <n v="3"/>
    <x v="2"/>
    <s v="PayPal"/>
    <x v="4"/>
    <x v="0"/>
    <d v="2022-01-13T00:00:00"/>
    <n v="449.97"/>
  </r>
  <r>
    <s v="TRX0236"/>
    <x v="62"/>
    <s v="CUST044"/>
    <s v="Cynthia Price"/>
    <x v="2"/>
    <x v="2"/>
    <x v="2"/>
    <n v="5"/>
    <x v="2"/>
    <s v="Credit Card"/>
    <x v="0"/>
    <x v="0"/>
    <d v="2024-01-19T00:00:00"/>
    <n v="749.95"/>
  </r>
  <r>
    <s v="TRX0001"/>
    <x v="63"/>
    <s v="CUST039"/>
    <s v="Lawrence Reed"/>
    <x v="7"/>
    <x v="7"/>
    <x v="1"/>
    <n v="3"/>
    <x v="6"/>
    <s v="Cash"/>
    <x v="0"/>
    <x v="1"/>
    <d v="2022-08-06T00:00:00"/>
    <n v="239.97"/>
  </r>
  <r>
    <s v="TRX0037"/>
    <x v="63"/>
    <s v="CUST035"/>
    <s v="Harry Morgan"/>
    <x v="0"/>
    <x v="0"/>
    <x v="0"/>
    <n v="2"/>
    <x v="0"/>
    <s v="Cash"/>
    <x v="1"/>
    <x v="2"/>
    <d v="2022-01-11T00:00:00"/>
    <n v="499.98"/>
  </r>
  <r>
    <s v="TRX0058"/>
    <x v="64"/>
    <s v="CUST047"/>
    <s v="Gerald Murphy"/>
    <x v="5"/>
    <x v="5"/>
    <x v="0"/>
    <n v="1"/>
    <x v="4"/>
    <s v="Cash"/>
    <x v="0"/>
    <x v="1"/>
    <d v="2021-10-28T00:00:00"/>
    <n v="699.99"/>
  </r>
  <r>
    <s v="TRX0170"/>
    <x v="64"/>
    <s v="CUST034"/>
    <s v="Carol Evans"/>
    <x v="3"/>
    <x v="3"/>
    <x v="0"/>
    <n v="3"/>
    <x v="2"/>
    <s v="Cash"/>
    <x v="3"/>
    <x v="1"/>
    <d v="2023-10-13T00:00:00"/>
    <n v="449.97"/>
  </r>
  <r>
    <s v="TRX0248"/>
    <x v="65"/>
    <s v="CUST032"/>
    <s v="Sandra Phillips"/>
    <x v="5"/>
    <x v="5"/>
    <x v="0"/>
    <n v="2"/>
    <x v="4"/>
    <s v="Credit Card"/>
    <x v="2"/>
    <x v="1"/>
    <d v="2021-08-13T00:00:00"/>
    <n v="1399.98"/>
  </r>
  <r>
    <s v="TRX0099"/>
    <x v="66"/>
    <s v="CUST034"/>
    <s v="Carol Evans"/>
    <x v="0"/>
    <x v="0"/>
    <x v="0"/>
    <n v="1"/>
    <x v="0"/>
    <s v="Credit Card"/>
    <x v="3"/>
    <x v="1"/>
    <d v="2022-05-04T00:00:00"/>
    <n v="249.99"/>
  </r>
  <r>
    <s v="TRX0074"/>
    <x v="66"/>
    <s v="CUST023"/>
    <s v="Paul Baker"/>
    <x v="0"/>
    <x v="0"/>
    <x v="0"/>
    <n v="1"/>
    <x v="0"/>
    <s v="Debit Card"/>
    <x v="2"/>
    <x v="1"/>
    <d v="2024-02-10T00:00:00"/>
    <n v="249.99"/>
  </r>
  <r>
    <s v="TRX0225"/>
    <x v="67"/>
    <s v="CUST039"/>
    <s v="Lawrence Reed"/>
    <x v="5"/>
    <x v="5"/>
    <x v="0"/>
    <n v="2"/>
    <x v="4"/>
    <s v="Debit Card"/>
    <x v="0"/>
    <x v="1"/>
    <d v="2022-11-05T00:00:00"/>
    <n v="1399.98"/>
  </r>
  <r>
    <s v="TRX0100"/>
    <x v="68"/>
    <s v="CUST031"/>
    <s v="Steven Turner"/>
    <x v="1"/>
    <x v="1"/>
    <x v="1"/>
    <n v="3"/>
    <x v="1"/>
    <s v="Credit Card"/>
    <x v="0"/>
    <x v="1"/>
    <d v="2022-06-05T00:00:00"/>
    <n v="179.97"/>
  </r>
  <r>
    <s v="TRX0142"/>
    <x v="69"/>
    <s v="CUST002"/>
    <s v="Emma Wilson"/>
    <x v="1"/>
    <x v="1"/>
    <x v="1"/>
    <n v="3"/>
    <x v="1"/>
    <s v="PayPal"/>
    <x v="4"/>
    <x v="2"/>
    <d v="2022-07-06T00:00:00"/>
    <n v="179.97"/>
  </r>
  <r>
    <s v="TRX0112"/>
    <x v="69"/>
    <s v="CUST008"/>
    <s v="Jennifer Taylor"/>
    <x v="7"/>
    <x v="7"/>
    <x v="1"/>
    <n v="4"/>
    <x v="6"/>
    <s v="Cash"/>
    <x v="2"/>
    <x v="0"/>
    <d v="2021-11-30T00:00:00"/>
    <n v="319.95999999999998"/>
  </r>
  <r>
    <s v="TRX0161"/>
    <x v="70"/>
    <s v="CUST017"/>
    <s v="Charles Allen"/>
    <x v="7"/>
    <x v="7"/>
    <x v="1"/>
    <n v="1"/>
    <x v="6"/>
    <s v="Cash"/>
    <x v="3"/>
    <x v="0"/>
    <d v="2022-05-12T00:00:00"/>
    <n v="79.989999999999995"/>
  </r>
  <r>
    <s v="TRX0108"/>
    <x v="71"/>
    <s v="CUST024"/>
    <s v="Dorothy Nelson"/>
    <x v="6"/>
    <x v="6"/>
    <x v="2"/>
    <n v="3"/>
    <x v="5"/>
    <s v="Credit Card"/>
    <x v="0"/>
    <x v="1"/>
    <d v="2021-10-25T00:00:00"/>
    <n v="899.97"/>
  </r>
  <r>
    <s v="TRX0211"/>
    <x v="72"/>
    <s v="CUST046"/>
    <s v="Kathleen Bennett"/>
    <x v="8"/>
    <x v="8"/>
    <x v="0"/>
    <n v="2"/>
    <x v="7"/>
    <s v="Credit Card"/>
    <x v="1"/>
    <x v="1"/>
    <d v="2022-03-21T00:00:00"/>
    <n v="179.98"/>
  </r>
  <r>
    <s v="TRX0005"/>
    <x v="73"/>
    <s v="CUST042"/>
    <s v="Ruth Brooks"/>
    <x v="3"/>
    <x v="3"/>
    <x v="0"/>
    <n v="4"/>
    <x v="2"/>
    <s v="Cash"/>
    <x v="2"/>
    <x v="0"/>
    <d v="2022-12-14T00:00:00"/>
    <n v="599.96"/>
  </r>
  <r>
    <s v="TRX0195"/>
    <x v="74"/>
    <s v="CUST026"/>
    <s v="Karen Hill"/>
    <x v="0"/>
    <x v="0"/>
    <x v="0"/>
    <n v="2"/>
    <x v="0"/>
    <s v="PayPal"/>
    <x v="1"/>
    <x v="0"/>
    <d v="2023-03-08T00:00:00"/>
    <n v="499.98"/>
  </r>
  <r>
    <s v="TRX0054"/>
    <x v="74"/>
    <s v="CUST004"/>
    <s v="Sarah Davis"/>
    <x v="9"/>
    <x v="9"/>
    <x v="2"/>
    <n v="4"/>
    <x v="8"/>
    <s v="Debit Card"/>
    <x v="4"/>
    <x v="0"/>
    <d v="2021-09-19T00:00:00"/>
    <n v="799.96"/>
  </r>
  <r>
    <s v="TRX0077"/>
    <x v="75"/>
    <s v="CUST019"/>
    <s v="Daniel King"/>
    <x v="8"/>
    <x v="8"/>
    <x v="0"/>
    <n v="5"/>
    <x v="7"/>
    <s v="Credit Card"/>
    <x v="4"/>
    <x v="1"/>
    <d v="2021-09-07T00:00:00"/>
    <n v="449.95"/>
  </r>
  <r>
    <s v="TRX0111"/>
    <x v="75"/>
    <s v="CUST011"/>
    <s v="William White"/>
    <x v="3"/>
    <x v="3"/>
    <x v="0"/>
    <n v="1"/>
    <x v="2"/>
    <s v="PayPal"/>
    <x v="4"/>
    <x v="2"/>
    <d v="2021-10-13T00:00:00"/>
    <n v="149.99"/>
  </r>
  <r>
    <s v="TRX0123"/>
    <x v="75"/>
    <s v="CUST041"/>
    <s v="Peter Richardson"/>
    <x v="5"/>
    <x v="5"/>
    <x v="0"/>
    <n v="4"/>
    <x v="4"/>
    <s v="PayPal"/>
    <x v="1"/>
    <x v="0"/>
    <d v="2022-02-26T00:00:00"/>
    <n v="2799.96"/>
  </r>
  <r>
    <s v="TRX0177"/>
    <x v="76"/>
    <s v="CUST032"/>
    <s v="Sandra Phillips"/>
    <x v="4"/>
    <x v="4"/>
    <x v="0"/>
    <n v="3"/>
    <x v="3"/>
    <s v="Credit Card"/>
    <x v="2"/>
    <x v="2"/>
    <d v="2023-08-19T00:00:00"/>
    <n v="2699.97"/>
  </r>
  <r>
    <s v="TRX0119"/>
    <x v="77"/>
    <s v="CUST014"/>
    <s v="Linda Martin"/>
    <x v="2"/>
    <x v="2"/>
    <x v="2"/>
    <n v="3"/>
    <x v="2"/>
    <s v="PayPal"/>
    <x v="4"/>
    <x v="0"/>
    <d v="2022-11-21T00:00:00"/>
    <n v="449.97"/>
  </r>
  <r>
    <s v="TRX0181"/>
    <x v="78"/>
    <s v="CUST012"/>
    <s v="Patricia Moore"/>
    <x v="6"/>
    <x v="6"/>
    <x v="2"/>
    <n v="2"/>
    <x v="5"/>
    <s v="Debit Card"/>
    <x v="0"/>
    <x v="0"/>
    <d v="2022-01-08T00:00:00"/>
    <n v="599.98"/>
  </r>
  <r>
    <s v="TRX0129"/>
    <x v="79"/>
    <s v="CUST015"/>
    <s v="Richard Lee"/>
    <x v="9"/>
    <x v="9"/>
    <x v="2"/>
    <n v="1"/>
    <x v="8"/>
    <s v="Debit Card"/>
    <x v="4"/>
    <x v="2"/>
    <d v="2023-01-27T00:00:00"/>
    <n v="199.99"/>
  </r>
  <r>
    <s v="TRX0174"/>
    <x v="80"/>
    <s v="CUST003"/>
    <s v="Michael Brown"/>
    <x v="6"/>
    <x v="6"/>
    <x v="2"/>
    <n v="4"/>
    <x v="5"/>
    <s v="Cash"/>
    <x v="0"/>
    <x v="1"/>
    <d v="2021-09-21T00:00:00"/>
    <n v="1199.96"/>
  </r>
  <r>
    <s v="TRX0146"/>
    <x v="81"/>
    <s v="CUST010"/>
    <s v="Maria Garcia"/>
    <x v="1"/>
    <x v="1"/>
    <x v="1"/>
    <n v="2"/>
    <x v="1"/>
    <s v="Credit Card"/>
    <x v="0"/>
    <x v="0"/>
    <d v="2022-01-18T00:00:00"/>
    <n v="119.98"/>
  </r>
  <r>
    <s v="TRX0203"/>
    <x v="81"/>
    <s v="CUST032"/>
    <s v="Sandra Phillips"/>
    <x v="3"/>
    <x v="3"/>
    <x v="0"/>
    <n v="4"/>
    <x v="2"/>
    <s v="Credit Card"/>
    <x v="2"/>
    <x v="1"/>
    <d v="2023-05-30T00:00:00"/>
    <n v="599.96"/>
  </r>
  <r>
    <s v="TRX0055"/>
    <x v="82"/>
    <s v="CUST016"/>
    <s v="Elizabeth Hall"/>
    <x v="5"/>
    <x v="5"/>
    <x v="0"/>
    <n v="2"/>
    <x v="4"/>
    <s v="Debit Card"/>
    <x v="4"/>
    <x v="1"/>
    <d v="2023-12-14T00:00:00"/>
    <n v="1399.98"/>
  </r>
  <r>
    <s v="TRX0218"/>
    <x v="82"/>
    <s v="CUST034"/>
    <s v="Carol Evans"/>
    <x v="2"/>
    <x v="2"/>
    <x v="2"/>
    <n v="3"/>
    <x v="2"/>
    <s v="Credit Card"/>
    <x v="1"/>
    <x v="2"/>
    <d v="2023-01-14T00:00:00"/>
    <n v="449.97"/>
  </r>
  <r>
    <s v="TRX0085"/>
    <x v="83"/>
    <s v="CUST019"/>
    <s v="Daniel King"/>
    <x v="6"/>
    <x v="6"/>
    <x v="2"/>
    <n v="3"/>
    <x v="5"/>
    <s v="Credit Card"/>
    <x v="0"/>
    <x v="2"/>
    <d v="2023-09-05T00:00:00"/>
    <n v="899.97"/>
  </r>
  <r>
    <s v="TRX0158"/>
    <x v="84"/>
    <s v="CUST027"/>
    <s v="George Adams"/>
    <x v="4"/>
    <x v="4"/>
    <x v="0"/>
    <n v="3"/>
    <x v="3"/>
    <s v="PayPal"/>
    <x v="3"/>
    <x v="0"/>
    <d v="2023-10-16T00:00:00"/>
    <n v="2699.97"/>
  </r>
  <r>
    <s v="TRX0173"/>
    <x v="85"/>
    <s v="CUST018"/>
    <s v="Barbara Young"/>
    <x v="5"/>
    <x v="5"/>
    <x v="0"/>
    <n v="5"/>
    <x v="4"/>
    <s v="Cash"/>
    <x v="4"/>
    <x v="2"/>
    <d v="2023-03-23T00:00:00"/>
    <n v="3499.95"/>
  </r>
  <r>
    <s v="TRX0034"/>
    <x v="85"/>
    <s v="CUST049"/>
    <s v="Raymond Ross"/>
    <x v="5"/>
    <x v="5"/>
    <x v="0"/>
    <n v="4"/>
    <x v="4"/>
    <s v="Credit Card"/>
    <x v="0"/>
    <x v="0"/>
    <d v="2024-04-03T00:00:00"/>
    <n v="2799.96"/>
  </r>
  <r>
    <s v="TRX0189"/>
    <x v="85"/>
    <s v="CUST040"/>
    <s v="Sharon Butler"/>
    <x v="4"/>
    <x v="4"/>
    <x v="0"/>
    <n v="1"/>
    <x v="3"/>
    <s v="Credit Card"/>
    <x v="4"/>
    <x v="2"/>
    <d v="2024-03-18T00:00:00"/>
    <n v="899.99"/>
  </r>
  <r>
    <s v="TRX0190"/>
    <x v="86"/>
    <s v="CUST039"/>
    <s v="Lawrence Reed"/>
    <x v="3"/>
    <x v="3"/>
    <x v="0"/>
    <n v="2"/>
    <x v="2"/>
    <s v="Credit Card"/>
    <x v="3"/>
    <x v="0"/>
    <d v="2022-12-21T00:00:00"/>
    <n v="299.98"/>
  </r>
  <r>
    <s v="TRX0079"/>
    <x v="87"/>
    <s v="CUST039"/>
    <s v="Lawrence Reed"/>
    <x v="8"/>
    <x v="8"/>
    <x v="0"/>
    <n v="3"/>
    <x v="7"/>
    <s v="PayPal"/>
    <x v="0"/>
    <x v="0"/>
    <d v="2021-12-21T00:00:00"/>
    <n v="269.97000000000003"/>
  </r>
  <r>
    <s v="TRX0095"/>
    <x v="88"/>
    <s v="CUST046"/>
    <s v="Kathleen Bennett"/>
    <x v="3"/>
    <x v="3"/>
    <x v="0"/>
    <n v="2"/>
    <x v="2"/>
    <s v="PayPal"/>
    <x v="0"/>
    <x v="0"/>
    <d v="2021-10-04T00:00:00"/>
    <n v="299.98"/>
  </r>
  <r>
    <s v="TRX0009"/>
    <x v="88"/>
    <s v="CUST004"/>
    <s v="Sarah Davis"/>
    <x v="5"/>
    <x v="5"/>
    <x v="0"/>
    <n v="2"/>
    <x v="4"/>
    <s v="Cash"/>
    <x v="0"/>
    <x v="0"/>
    <d v="2023-03-07T00:00:00"/>
    <n v="1399.98"/>
  </r>
  <r>
    <s v="TRX0167"/>
    <x v="89"/>
    <s v="CUST028"/>
    <s v="Betty Campbell"/>
    <x v="5"/>
    <x v="5"/>
    <x v="0"/>
    <n v="5"/>
    <x v="4"/>
    <s v="Cash"/>
    <x v="2"/>
    <x v="1"/>
    <d v="2022-03-15T00:00:00"/>
    <n v="3499.95"/>
  </r>
  <r>
    <s v="TRX0153"/>
    <x v="90"/>
    <s v="CUST049"/>
    <s v="Raymond Ross"/>
    <x v="8"/>
    <x v="8"/>
    <x v="0"/>
    <n v="3"/>
    <x v="7"/>
    <s v="Credit Card"/>
    <x v="2"/>
    <x v="2"/>
    <d v="2022-02-23T00:00:00"/>
    <n v="269.97000000000003"/>
  </r>
  <r>
    <s v="TRX0057"/>
    <x v="91"/>
    <s v="CUST023"/>
    <s v="Paul Baker"/>
    <x v="0"/>
    <x v="0"/>
    <x v="0"/>
    <n v="5"/>
    <x v="0"/>
    <s v="Credit Card"/>
    <x v="1"/>
    <x v="2"/>
    <d v="2022-11-16T00:00:00"/>
    <n v="1249.95"/>
  </r>
  <r>
    <s v="TRX0017"/>
    <x v="92"/>
    <s v="CUST026"/>
    <s v="Karen Hill"/>
    <x v="6"/>
    <x v="6"/>
    <x v="2"/>
    <n v="3"/>
    <x v="5"/>
    <s v="Credit Card"/>
    <x v="1"/>
    <x v="2"/>
    <d v="2021-11-02T00:00:00"/>
    <n v="899.97"/>
  </r>
  <r>
    <s v="TRX0060"/>
    <x v="93"/>
    <s v="CUST012"/>
    <s v="Patricia Moore"/>
    <x v="8"/>
    <x v="8"/>
    <x v="0"/>
    <n v="3"/>
    <x v="7"/>
    <s v="Credit Card"/>
    <x v="2"/>
    <x v="1"/>
    <d v="2021-08-12T00:00:00"/>
    <n v="269.97000000000003"/>
  </r>
  <r>
    <s v="TRX0109"/>
    <x v="94"/>
    <s v="CUST010"/>
    <s v="Maria Garcia"/>
    <x v="2"/>
    <x v="2"/>
    <x v="2"/>
    <n v="2"/>
    <x v="2"/>
    <s v="Credit Card"/>
    <x v="3"/>
    <x v="1"/>
    <d v="2022-10-14T00:00:00"/>
    <n v="299.98"/>
  </r>
  <r>
    <s v="TRX0090"/>
    <x v="95"/>
    <s v="CUST020"/>
    <s v="Margaret Wright"/>
    <x v="0"/>
    <x v="0"/>
    <x v="0"/>
    <n v="1"/>
    <x v="0"/>
    <s v="Credit Card"/>
    <x v="2"/>
    <x v="1"/>
    <d v="2022-09-24T00:00:00"/>
    <n v="249.99"/>
  </r>
  <r>
    <s v="TRX0035"/>
    <x v="96"/>
    <s v="CUST041"/>
    <s v="Peter Richardson"/>
    <x v="3"/>
    <x v="3"/>
    <x v="0"/>
    <n v="3"/>
    <x v="2"/>
    <s v="Cash"/>
    <x v="2"/>
    <x v="0"/>
    <d v="2022-07-27T00:00:00"/>
    <n v="449.97"/>
  </r>
  <r>
    <s v="TRX0172"/>
    <x v="96"/>
    <s v="CUST023"/>
    <s v="Paul Baker"/>
    <x v="1"/>
    <x v="1"/>
    <x v="1"/>
    <n v="5"/>
    <x v="1"/>
    <s v="PayPal"/>
    <x v="3"/>
    <x v="1"/>
    <d v="2022-05-13T00:00:00"/>
    <n v="299.95"/>
  </r>
  <r>
    <s v="TRX0076"/>
    <x v="96"/>
    <s v="CUST012"/>
    <s v="Patricia Moore"/>
    <x v="0"/>
    <x v="0"/>
    <x v="0"/>
    <n v="4"/>
    <x v="0"/>
    <s v="Credit Card"/>
    <x v="3"/>
    <x v="2"/>
    <d v="2022-04-08T00:00:00"/>
    <n v="999.96"/>
  </r>
  <r>
    <s v="TRX0210"/>
    <x v="97"/>
    <s v="CUST004"/>
    <s v="Sarah Davis"/>
    <x v="2"/>
    <x v="2"/>
    <x v="2"/>
    <n v="5"/>
    <x v="2"/>
    <s v="PayPal"/>
    <x v="0"/>
    <x v="0"/>
    <d v="2022-12-06T00:00:00"/>
    <n v="749.95"/>
  </r>
  <r>
    <s v="TRX0149"/>
    <x v="97"/>
    <s v="CUST027"/>
    <s v="George Adams"/>
    <x v="1"/>
    <x v="1"/>
    <x v="1"/>
    <n v="3"/>
    <x v="1"/>
    <s v="Debit Card"/>
    <x v="1"/>
    <x v="2"/>
    <d v="2023-11-30T00:00:00"/>
    <n v="179.97"/>
  </r>
  <r>
    <s v="TRX0073"/>
    <x v="98"/>
    <s v="CUST032"/>
    <s v="Sandra Phillips"/>
    <x v="2"/>
    <x v="2"/>
    <x v="2"/>
    <n v="5"/>
    <x v="2"/>
    <s v="Cash"/>
    <x v="2"/>
    <x v="0"/>
    <d v="2022-11-04T00:00:00"/>
    <n v="749.95"/>
  </r>
  <r>
    <s v="TRX0033"/>
    <x v="98"/>
    <s v="CUST025"/>
    <s v="Mark Carter"/>
    <x v="5"/>
    <x v="5"/>
    <x v="0"/>
    <n v="2"/>
    <x v="4"/>
    <s v="PayPal"/>
    <x v="3"/>
    <x v="2"/>
    <d v="2022-07-28T00:00:00"/>
    <n v="1399.98"/>
  </r>
  <r>
    <s v="TRX0160"/>
    <x v="99"/>
    <s v="CUST029"/>
    <s v="Edward Mitchell"/>
    <x v="9"/>
    <x v="9"/>
    <x v="2"/>
    <n v="4"/>
    <x v="8"/>
    <s v="Debit Card"/>
    <x v="0"/>
    <x v="1"/>
    <d v="2021-08-19T00:00:00"/>
    <n v="799.96"/>
  </r>
  <r>
    <s v="TRX0145"/>
    <x v="100"/>
    <s v="CUST033"/>
    <s v="Frank Torres"/>
    <x v="1"/>
    <x v="1"/>
    <x v="1"/>
    <n v="1"/>
    <x v="1"/>
    <s v="Debit Card"/>
    <x v="3"/>
    <x v="2"/>
    <d v="2021-12-30T00:00:00"/>
    <n v="59.99"/>
  </r>
  <r>
    <s v="TRX0148"/>
    <x v="100"/>
    <s v="CUST004"/>
    <s v="Sarah Davis"/>
    <x v="5"/>
    <x v="5"/>
    <x v="0"/>
    <n v="3"/>
    <x v="4"/>
    <s v="PayPal"/>
    <x v="3"/>
    <x v="2"/>
    <d v="2022-01-22T00:00:00"/>
    <n v="2099.9699999999998"/>
  </r>
  <r>
    <s v="TRX0012"/>
    <x v="101"/>
    <s v="CUST045"/>
    <s v="Douglas Watson"/>
    <x v="0"/>
    <x v="0"/>
    <x v="0"/>
    <n v="5"/>
    <x v="0"/>
    <s v="Credit Card"/>
    <x v="2"/>
    <x v="0"/>
    <d v="2022-11-08T00:00:00"/>
    <n v="1249.95"/>
  </r>
  <r>
    <s v="TRX0206"/>
    <x v="102"/>
    <s v="CUST014"/>
    <s v="Linda Martin"/>
    <x v="2"/>
    <x v="2"/>
    <x v="2"/>
    <n v="2"/>
    <x v="2"/>
    <s v="Cash"/>
    <x v="1"/>
    <x v="2"/>
    <d v="2023-06-24T00:00:00"/>
    <n v="299.98"/>
  </r>
  <r>
    <s v="TRX0045"/>
    <x v="103"/>
    <s v="CUST021"/>
    <s v="Kevin Scott"/>
    <x v="6"/>
    <x v="6"/>
    <x v="2"/>
    <n v="3"/>
    <x v="5"/>
    <s v="Cash"/>
    <x v="1"/>
    <x v="1"/>
    <d v="2022-04-08T00:00:00"/>
    <n v="899.97"/>
  </r>
  <r>
    <s v="TRX0094"/>
    <x v="103"/>
    <s v="CUST017"/>
    <s v="Charles Allen"/>
    <x v="0"/>
    <x v="0"/>
    <x v="0"/>
    <n v="5"/>
    <x v="0"/>
    <s v="Cash"/>
    <x v="0"/>
    <x v="1"/>
    <d v="2021-10-16T00:00:00"/>
    <n v="1249.95"/>
  </r>
  <r>
    <s v="TRX0133"/>
    <x v="103"/>
    <s v="CUST013"/>
    <s v="Joseph Jackson"/>
    <x v="3"/>
    <x v="3"/>
    <x v="0"/>
    <n v="2"/>
    <x v="2"/>
    <s v="Cash"/>
    <x v="1"/>
    <x v="1"/>
    <d v="2021-10-06T00:00:00"/>
    <n v="299.98"/>
  </r>
  <r>
    <s v="TRX0201"/>
    <x v="103"/>
    <s v="CUST025"/>
    <s v="Mark Carter"/>
    <x v="5"/>
    <x v="5"/>
    <x v="0"/>
    <n v="5"/>
    <x v="4"/>
    <s v="Debit Card"/>
    <x v="3"/>
    <x v="2"/>
    <d v="2023-01-18T00:00:00"/>
    <n v="3499.95"/>
  </r>
  <r>
    <s v="TRX0137"/>
    <x v="104"/>
    <s v="CUST011"/>
    <s v="William White"/>
    <x v="0"/>
    <x v="0"/>
    <x v="0"/>
    <n v="4"/>
    <x v="0"/>
    <s v="PayPal"/>
    <x v="4"/>
    <x v="1"/>
    <d v="2023-06-21T00:00:00"/>
    <n v="999.96"/>
  </r>
  <r>
    <s v="TRX0066"/>
    <x v="105"/>
    <s v="CUST024"/>
    <s v="Dorothy Nelson"/>
    <x v="5"/>
    <x v="5"/>
    <x v="0"/>
    <n v="4"/>
    <x v="4"/>
    <s v="Credit Card"/>
    <x v="2"/>
    <x v="1"/>
    <d v="2022-05-22T00:00:00"/>
    <n v="2799.96"/>
  </r>
  <r>
    <s v="TRX0180"/>
    <x v="106"/>
    <s v="CUST036"/>
    <s v="Nancy Collins"/>
    <x v="0"/>
    <x v="0"/>
    <x v="0"/>
    <n v="2"/>
    <x v="0"/>
    <s v="Credit Card"/>
    <x v="0"/>
    <x v="1"/>
    <d v="2021-07-19T00:00:00"/>
    <n v="499.98"/>
  </r>
  <r>
    <s v="TRX0082"/>
    <x v="106"/>
    <s v="CUST005"/>
    <s v="James Johnson"/>
    <x v="1"/>
    <x v="1"/>
    <x v="1"/>
    <n v="3"/>
    <x v="1"/>
    <s v="Cash"/>
    <x v="0"/>
    <x v="1"/>
    <d v="2023-05-06T00:00:00"/>
    <n v="179.97"/>
  </r>
  <r>
    <s v="TRX0036"/>
    <x v="106"/>
    <s v="CUST008"/>
    <s v="Jennifer Taylor"/>
    <x v="7"/>
    <x v="7"/>
    <x v="1"/>
    <n v="4"/>
    <x v="6"/>
    <s v="Debit Card"/>
    <x v="4"/>
    <x v="2"/>
    <d v="2022-12-26T00:00:00"/>
    <n v="319.95999999999998"/>
  </r>
  <r>
    <s v="TRX0198"/>
    <x v="107"/>
    <s v="CUST030"/>
    <s v="Helen Roberts"/>
    <x v="7"/>
    <x v="7"/>
    <x v="1"/>
    <n v="3"/>
    <x v="6"/>
    <s v="Debit Card"/>
    <x v="4"/>
    <x v="2"/>
    <d v="2022-08-06T00:00:00"/>
    <n v="239.97"/>
  </r>
  <r>
    <s v="TRX0032"/>
    <x v="108"/>
    <s v="CUST041"/>
    <s v="Peter Richardson"/>
    <x v="4"/>
    <x v="4"/>
    <x v="0"/>
    <n v="2"/>
    <x v="3"/>
    <s v="Cash"/>
    <x v="2"/>
    <x v="0"/>
    <d v="2021-07-29T00:00:00"/>
    <n v="1799.98"/>
  </r>
  <r>
    <s v="TRX0081"/>
    <x v="109"/>
    <s v="CUST007"/>
    <s v="David Martinez"/>
    <x v="2"/>
    <x v="2"/>
    <x v="2"/>
    <n v="1"/>
    <x v="2"/>
    <s v="Debit Card"/>
    <x v="4"/>
    <x v="2"/>
    <d v="2023-10-01T00:00:00"/>
    <n v="149.99"/>
  </r>
  <r>
    <s v="TRX0224"/>
    <x v="109"/>
    <s v="CUST031"/>
    <s v="Steven Turner"/>
    <x v="6"/>
    <x v="6"/>
    <x v="2"/>
    <n v="2"/>
    <x v="5"/>
    <s v="Cash"/>
    <x v="4"/>
    <x v="1"/>
    <d v="2022-06-12T00:00:00"/>
    <n v="599.98"/>
  </r>
  <r>
    <s v="TRX0028"/>
    <x v="110"/>
    <s v="CUST002"/>
    <s v="Emma Wilson"/>
    <x v="1"/>
    <x v="1"/>
    <x v="1"/>
    <n v="2"/>
    <x v="1"/>
    <s v="Cash"/>
    <x v="3"/>
    <x v="0"/>
    <d v="2023-09-22T00:00:00"/>
    <n v="119.98"/>
  </r>
  <r>
    <s v="TRX0183"/>
    <x v="111"/>
    <s v="CUST007"/>
    <s v="David Martinez"/>
    <x v="8"/>
    <x v="8"/>
    <x v="0"/>
    <n v="1"/>
    <x v="7"/>
    <s v="Debit Card"/>
    <x v="0"/>
    <x v="2"/>
    <d v="2022-07-18T00:00:00"/>
    <n v="89.99"/>
  </r>
  <r>
    <s v="TRX0163"/>
    <x v="111"/>
    <s v="CUST019"/>
    <s v="Daniel King"/>
    <x v="4"/>
    <x v="4"/>
    <x v="0"/>
    <n v="5"/>
    <x v="3"/>
    <s v="Debit Card"/>
    <x v="4"/>
    <x v="2"/>
    <d v="2022-03-05T00:00:00"/>
    <n v="4499.95"/>
  </r>
  <r>
    <s v="TRX0046"/>
    <x v="112"/>
    <s v="CUST003"/>
    <s v="Michael Brown"/>
    <x v="2"/>
    <x v="2"/>
    <x v="2"/>
    <n v="2"/>
    <x v="2"/>
    <s v="Cash"/>
    <x v="1"/>
    <x v="0"/>
    <d v="2023-11-09T00:00:00"/>
    <n v="299.98"/>
  </r>
  <r>
    <s v="TRX0164"/>
    <x v="113"/>
    <s v="CUST014"/>
    <s v="Linda Martin"/>
    <x v="3"/>
    <x v="3"/>
    <x v="0"/>
    <n v="2"/>
    <x v="2"/>
    <s v="Debit Card"/>
    <x v="3"/>
    <x v="1"/>
    <d v="2023-12-20T00:00:00"/>
    <n v="299.98"/>
  </r>
  <r>
    <s v="TRX0008"/>
    <x v="113"/>
    <s v="CUST007"/>
    <s v="David Martinez"/>
    <x v="2"/>
    <x v="2"/>
    <x v="2"/>
    <n v="3"/>
    <x v="2"/>
    <s v="Debit Card"/>
    <x v="2"/>
    <x v="2"/>
    <d v="2021-11-22T00:00:00"/>
    <n v="449.97"/>
  </r>
  <r>
    <s v="TRX0171"/>
    <x v="114"/>
    <s v="CUST021"/>
    <s v="Kevin Scott"/>
    <x v="6"/>
    <x v="6"/>
    <x v="2"/>
    <n v="2"/>
    <x v="5"/>
    <s v="PayPal"/>
    <x v="1"/>
    <x v="0"/>
    <d v="2022-06-09T00:00:00"/>
    <n v="599.98"/>
  </r>
  <r>
    <s v="TRX0143"/>
    <x v="115"/>
    <s v="CUST003"/>
    <s v="Michael Brown"/>
    <x v="6"/>
    <x v="6"/>
    <x v="2"/>
    <n v="2"/>
    <x v="5"/>
    <s v="Cash"/>
    <x v="3"/>
    <x v="0"/>
    <d v="2022-07-29T00:00:00"/>
    <n v="599.98"/>
  </r>
  <r>
    <s v="TRX0165"/>
    <x v="115"/>
    <s v="CUST030"/>
    <s v="Helen Roberts"/>
    <x v="9"/>
    <x v="9"/>
    <x v="2"/>
    <n v="4"/>
    <x v="8"/>
    <s v="Credit Card"/>
    <x v="0"/>
    <x v="0"/>
    <d v="2021-11-23T00:00:00"/>
    <n v="799.96"/>
  </r>
  <r>
    <s v="TRX0156"/>
    <x v="116"/>
    <s v="CUST009"/>
    <s v="Robert Thomas"/>
    <x v="8"/>
    <x v="8"/>
    <x v="0"/>
    <n v="1"/>
    <x v="7"/>
    <s v="Credit Card"/>
    <x v="1"/>
    <x v="1"/>
    <d v="2022-01-30T00:00:00"/>
    <n v="89.99"/>
  </r>
  <r>
    <s v="TRX0147"/>
    <x v="116"/>
    <s v="CUST036"/>
    <s v="Nancy Collins"/>
    <x v="2"/>
    <x v="2"/>
    <x v="2"/>
    <n v="5"/>
    <x v="2"/>
    <s v="Cash"/>
    <x v="0"/>
    <x v="1"/>
    <d v="2024-02-25T00:00:00"/>
    <n v="749.95"/>
  </r>
  <r>
    <s v="TRX0207"/>
    <x v="117"/>
    <s v="CUST025"/>
    <s v="Mark Carter"/>
    <x v="4"/>
    <x v="4"/>
    <x v="0"/>
    <n v="1"/>
    <x v="3"/>
    <s v="PayPal"/>
    <x v="2"/>
    <x v="1"/>
    <d v="2023-05-04T00:00:00"/>
    <n v="899.99"/>
  </r>
  <r>
    <s v="TRX0056"/>
    <x v="118"/>
    <s v="CUST019"/>
    <s v="Daniel King"/>
    <x v="8"/>
    <x v="8"/>
    <x v="0"/>
    <n v="2"/>
    <x v="7"/>
    <s v="Credit Card"/>
    <x v="1"/>
    <x v="1"/>
    <d v="2022-01-03T00:00:00"/>
    <n v="179.98"/>
  </r>
  <r>
    <s v="TRX0026"/>
    <x v="119"/>
    <s v="CUST037"/>
    <s v="Arthur Edwards"/>
    <x v="4"/>
    <x v="4"/>
    <x v="0"/>
    <n v="1"/>
    <x v="3"/>
    <s v="PayPal"/>
    <x v="2"/>
    <x v="2"/>
    <d v="2022-07-10T00:00:00"/>
    <n v="899.99"/>
  </r>
  <r>
    <s v="TRX0237"/>
    <x v="120"/>
    <s v="CUST006"/>
    <s v="Lisa Anderson"/>
    <x v="3"/>
    <x v="3"/>
    <x v="0"/>
    <n v="5"/>
    <x v="2"/>
    <s v="PayPal"/>
    <x v="4"/>
    <x v="1"/>
    <d v="2022-09-20T00:00:00"/>
    <n v="749.95"/>
  </r>
  <r>
    <s v="TRX0091"/>
    <x v="120"/>
    <s v="CUST003"/>
    <s v="Michael Brown"/>
    <x v="6"/>
    <x v="6"/>
    <x v="2"/>
    <n v="3"/>
    <x v="5"/>
    <s v="Cash"/>
    <x v="1"/>
    <x v="2"/>
    <d v="2021-08-14T00:00:00"/>
    <n v="899.97"/>
  </r>
  <r>
    <s v="TRX0125"/>
    <x v="121"/>
    <s v="CUST026"/>
    <s v="Karen Hill"/>
    <x v="5"/>
    <x v="5"/>
    <x v="0"/>
    <n v="3"/>
    <x v="4"/>
    <s v="Credit Card"/>
    <x v="0"/>
    <x v="1"/>
    <d v="2023-06-28T00:00:00"/>
    <n v="2099.9699999999998"/>
  </r>
  <r>
    <s v="TRX0223"/>
    <x v="122"/>
    <s v="CUST036"/>
    <s v="Nancy Collins"/>
    <x v="9"/>
    <x v="9"/>
    <x v="2"/>
    <n v="5"/>
    <x v="8"/>
    <s v="PayPal"/>
    <x v="0"/>
    <x v="2"/>
    <d v="2022-03-13T00:00:00"/>
    <n v="999.95"/>
  </r>
  <r>
    <s v="TRX0243"/>
    <x v="122"/>
    <s v="CUST048"/>
    <s v="Virginia Sanders"/>
    <x v="0"/>
    <x v="0"/>
    <x v="0"/>
    <n v="5"/>
    <x v="0"/>
    <s v="Credit Card"/>
    <x v="1"/>
    <x v="0"/>
    <d v="2024-02-08T00:00:00"/>
    <n v="1249.95"/>
  </r>
  <r>
    <s v="TRX0084"/>
    <x v="123"/>
    <s v="CUST031"/>
    <s v="Steven Turner"/>
    <x v="3"/>
    <x v="3"/>
    <x v="0"/>
    <n v="4"/>
    <x v="2"/>
    <s v="Debit Card"/>
    <x v="4"/>
    <x v="2"/>
    <d v="2021-12-06T00:00:00"/>
    <n v="599.96"/>
  </r>
  <r>
    <s v="TRX0238"/>
    <x v="123"/>
    <s v="CUST038"/>
    <s v="Michelle Rogers"/>
    <x v="5"/>
    <x v="5"/>
    <x v="0"/>
    <n v="3"/>
    <x v="4"/>
    <s v="Cash"/>
    <x v="2"/>
    <x v="1"/>
    <d v="2022-02-10T00:00:00"/>
    <n v="2099.9699999999998"/>
  </r>
  <r>
    <s v="TRX0102"/>
    <x v="124"/>
    <s v="CUST045"/>
    <s v="Douglas Watson"/>
    <x v="7"/>
    <x v="7"/>
    <x v="1"/>
    <n v="1"/>
    <x v="6"/>
    <s v="Credit Card"/>
    <x v="1"/>
    <x v="0"/>
    <d v="2024-01-31T00:00:00"/>
    <n v="79.989999999999995"/>
  </r>
  <r>
    <s v="TRX0022"/>
    <x v="124"/>
    <s v="CUST025"/>
    <s v="Mark Carter"/>
    <x v="6"/>
    <x v="6"/>
    <x v="2"/>
    <n v="1"/>
    <x v="5"/>
    <s v="Credit Card"/>
    <x v="2"/>
    <x v="0"/>
    <d v="2021-08-28T00:00:00"/>
    <n v="299.99"/>
  </r>
  <r>
    <s v="TRX0087"/>
    <x v="125"/>
    <s v="CUST028"/>
    <s v="Betty Campbell"/>
    <x v="0"/>
    <x v="0"/>
    <x v="0"/>
    <n v="4"/>
    <x v="0"/>
    <s v="Credit Card"/>
    <x v="2"/>
    <x v="1"/>
    <d v="2021-09-21T00:00:00"/>
    <n v="999.96"/>
  </r>
  <r>
    <s v="TRX0107"/>
    <x v="125"/>
    <s v="CUST030"/>
    <s v="Helen Roberts"/>
    <x v="3"/>
    <x v="3"/>
    <x v="0"/>
    <n v="2"/>
    <x v="2"/>
    <s v="Cash"/>
    <x v="2"/>
    <x v="2"/>
    <d v="2022-12-18T00:00:00"/>
    <n v="299.98"/>
  </r>
  <r>
    <s v="TRX0051"/>
    <x v="125"/>
    <s v="CUST032"/>
    <s v="Sandra Phillips"/>
    <x v="6"/>
    <x v="6"/>
    <x v="2"/>
    <n v="3"/>
    <x v="5"/>
    <s v="Credit Card"/>
    <x v="1"/>
    <x v="0"/>
    <d v="2023-10-05T00:00:00"/>
    <n v="899.97"/>
  </r>
  <r>
    <s v="TRX0106"/>
    <x v="126"/>
    <s v="CUST039"/>
    <s v="Lawrence Reed"/>
    <x v="9"/>
    <x v="9"/>
    <x v="2"/>
    <n v="4"/>
    <x v="8"/>
    <s v="Debit Card"/>
    <x v="1"/>
    <x v="2"/>
    <d v="2021-12-14T00:00:00"/>
    <n v="799.96"/>
  </r>
  <r>
    <s v="TRX0059"/>
    <x v="126"/>
    <s v="CUST016"/>
    <s v="Elizabeth Hall"/>
    <x v="6"/>
    <x v="6"/>
    <x v="2"/>
    <n v="5"/>
    <x v="5"/>
    <s v="Debit Card"/>
    <x v="0"/>
    <x v="0"/>
    <d v="2021-08-23T00:00:00"/>
    <n v="1499.95"/>
  </r>
  <r>
    <s v="TRX0072"/>
    <x v="126"/>
    <s v="CUST009"/>
    <s v="Robert Thomas"/>
    <x v="2"/>
    <x v="2"/>
    <x v="2"/>
    <n v="3"/>
    <x v="2"/>
    <s v="Credit Card"/>
    <x v="4"/>
    <x v="2"/>
    <d v="2021-07-18T00:00:00"/>
    <n v="449.97"/>
  </r>
  <r>
    <s v="TRX0110"/>
    <x v="127"/>
    <s v="CUST006"/>
    <s v="Lisa Anderson"/>
    <x v="1"/>
    <x v="1"/>
    <x v="1"/>
    <n v="5"/>
    <x v="1"/>
    <s v="Debit Card"/>
    <x v="4"/>
    <x v="0"/>
    <d v="2022-03-22T00:00:00"/>
    <n v="299.95"/>
  </r>
  <r>
    <s v="TRX0126"/>
    <x v="128"/>
    <s v="CUST022"/>
    <s v="Susan Green"/>
    <x v="1"/>
    <x v="1"/>
    <x v="1"/>
    <n v="4"/>
    <x v="1"/>
    <s v="Debit Card"/>
    <x v="4"/>
    <x v="2"/>
    <d v="2022-01-03T00:00:00"/>
    <n v="239.96"/>
  </r>
  <r>
    <s v="TRX0159"/>
    <x v="129"/>
    <s v="CUST024"/>
    <s v="Dorothy Nelson"/>
    <x v="0"/>
    <x v="0"/>
    <x v="0"/>
    <n v="4"/>
    <x v="0"/>
    <s v="Debit Card"/>
    <x v="0"/>
    <x v="1"/>
    <d v="2023-10-18T00:00:00"/>
    <n v="999.96"/>
  </r>
  <r>
    <s v="TRX0030"/>
    <x v="130"/>
    <s v="CUST011"/>
    <s v="William White"/>
    <x v="4"/>
    <x v="4"/>
    <x v="0"/>
    <n v="4"/>
    <x v="3"/>
    <s v="PayPal"/>
    <x v="0"/>
    <x v="0"/>
    <d v="2022-06-22T00:00:00"/>
    <n v="3599.96"/>
  </r>
  <r>
    <s v="TRX0178"/>
    <x v="130"/>
    <s v="CUST025"/>
    <s v="Mark Carter"/>
    <x v="6"/>
    <x v="6"/>
    <x v="2"/>
    <n v="3"/>
    <x v="5"/>
    <s v="Debit Card"/>
    <x v="3"/>
    <x v="2"/>
    <d v="2023-01-26T00:00:00"/>
    <n v="899.97"/>
  </r>
  <r>
    <s v="TRX0188"/>
    <x v="130"/>
    <s v="CUST045"/>
    <s v="Douglas Watson"/>
    <x v="5"/>
    <x v="5"/>
    <x v="0"/>
    <n v="2"/>
    <x v="4"/>
    <s v="Debit Card"/>
    <x v="0"/>
    <x v="1"/>
    <d v="2022-04-30T00:00:00"/>
    <n v="1399.98"/>
  </r>
  <r>
    <s v="TRX0010"/>
    <x v="131"/>
    <s v="CUST026"/>
    <s v="Karen Hill"/>
    <x v="5"/>
    <x v="5"/>
    <x v="0"/>
    <n v="4"/>
    <x v="4"/>
    <s v="Debit Card"/>
    <x v="3"/>
    <x v="1"/>
    <d v="2022-05-11T00:00:00"/>
    <n v="2799.96"/>
  </r>
  <r>
    <s v="TRX0069"/>
    <x v="131"/>
    <s v="CUST029"/>
    <s v="Edward Mitchell"/>
    <x v="8"/>
    <x v="8"/>
    <x v="0"/>
    <n v="2"/>
    <x v="7"/>
    <s v="Debit Card"/>
    <x v="1"/>
    <x v="0"/>
    <d v="2022-08-04T00:00:00"/>
    <n v="179.98"/>
  </r>
  <r>
    <s v="TRX0166"/>
    <x v="131"/>
    <s v="CUST003"/>
    <s v="Michael Brown"/>
    <x v="8"/>
    <x v="8"/>
    <x v="0"/>
    <n v="3"/>
    <x v="7"/>
    <s v="Debit Card"/>
    <x v="1"/>
    <x v="1"/>
    <d v="2024-01-16T00:00:00"/>
    <n v="269.97000000000003"/>
  </r>
  <r>
    <s v="TRX0219"/>
    <x v="132"/>
    <s v="CUST037"/>
    <s v="Arthur Edwards"/>
    <x v="1"/>
    <x v="1"/>
    <x v="1"/>
    <n v="1"/>
    <x v="1"/>
    <s v="Debit Card"/>
    <x v="0"/>
    <x v="2"/>
    <d v="2023-04-29T00:00:00"/>
    <n v="59.99"/>
  </r>
  <r>
    <s v="TRX0024"/>
    <x v="133"/>
    <s v="CUST042"/>
    <s v="Ruth Brooks"/>
    <x v="2"/>
    <x v="2"/>
    <x v="2"/>
    <n v="3"/>
    <x v="2"/>
    <s v="Debit Card"/>
    <x v="2"/>
    <x v="1"/>
    <d v="2022-01-03T00:00:00"/>
    <n v="449.97"/>
  </r>
  <r>
    <s v="TRX0105"/>
    <x v="133"/>
    <s v="CUST048"/>
    <s v="Virginia Sanders"/>
    <x v="6"/>
    <x v="6"/>
    <x v="2"/>
    <n v="5"/>
    <x v="5"/>
    <s v="Credit Card"/>
    <x v="1"/>
    <x v="0"/>
    <d v="2023-02-02T00:00:00"/>
    <n v="1499.95"/>
  </r>
  <r>
    <s v="TRX0011"/>
    <x v="134"/>
    <s v="CUST040"/>
    <s v="Sharon Butler"/>
    <x v="1"/>
    <x v="1"/>
    <x v="1"/>
    <n v="5"/>
    <x v="1"/>
    <s v="Debit Card"/>
    <x v="0"/>
    <x v="2"/>
    <d v="2023-09-08T00:00:00"/>
    <n v="299.95"/>
  </r>
  <r>
    <s v="TRX0187"/>
    <x v="135"/>
    <s v="CUST036"/>
    <s v="Nancy Collins"/>
    <x v="7"/>
    <x v="7"/>
    <x v="1"/>
    <n v="3"/>
    <x v="6"/>
    <s v="Cash"/>
    <x v="4"/>
    <x v="1"/>
    <d v="2021-08-28T00:00:00"/>
    <n v="239.97"/>
  </r>
  <r>
    <s v="TRX0089"/>
    <x v="136"/>
    <s v="CUST021"/>
    <s v="Kevin Scott"/>
    <x v="9"/>
    <x v="9"/>
    <x v="2"/>
    <n v="3"/>
    <x v="8"/>
    <s v="Cash"/>
    <x v="0"/>
    <x v="0"/>
    <d v="2022-06-23T00:00:00"/>
    <n v="599.97"/>
  </r>
  <r>
    <s v="TRX0196"/>
    <x v="136"/>
    <s v="CUST023"/>
    <s v="Paul Baker"/>
    <x v="8"/>
    <x v="8"/>
    <x v="0"/>
    <n v="2"/>
    <x v="7"/>
    <s v="PayPal"/>
    <x v="0"/>
    <x v="0"/>
    <d v="2023-11-27T00:00:00"/>
    <n v="179.98"/>
  </r>
  <r>
    <s v="TRX0118"/>
    <x v="137"/>
    <s v="CUST015"/>
    <s v="Richard Lee"/>
    <x v="2"/>
    <x v="2"/>
    <x v="2"/>
    <n v="2"/>
    <x v="2"/>
    <s v="Cash"/>
    <x v="1"/>
    <x v="1"/>
    <d v="2022-06-16T00:00:00"/>
    <n v="299.98"/>
  </r>
  <r>
    <s v="TRX0179"/>
    <x v="138"/>
    <s v="CUST029"/>
    <s v="Edward Mitchell"/>
    <x v="5"/>
    <x v="5"/>
    <x v="0"/>
    <n v="5"/>
    <x v="4"/>
    <s v="PayPal"/>
    <x v="1"/>
    <x v="1"/>
    <d v="2024-03-01T00:00:00"/>
    <n v="3499.95"/>
  </r>
  <r>
    <s v="TRX0168"/>
    <x v="138"/>
    <s v="CUST003"/>
    <s v="Michael Brown"/>
    <x v="2"/>
    <x v="2"/>
    <x v="2"/>
    <n v="3"/>
    <x v="2"/>
    <s v="PayPal"/>
    <x v="0"/>
    <x v="2"/>
    <d v="2022-03-13T00:00:00"/>
    <n v="449.97"/>
  </r>
  <r>
    <s v="TRX0214"/>
    <x v="139"/>
    <s v="CUST018"/>
    <s v="Barbara Young"/>
    <x v="4"/>
    <x v="4"/>
    <x v="0"/>
    <n v="3"/>
    <x v="3"/>
    <s v="Cash"/>
    <x v="4"/>
    <x v="2"/>
    <d v="2022-02-21T00:00:00"/>
    <n v="2699.97"/>
  </r>
  <r>
    <s v="TRX0221"/>
    <x v="139"/>
    <s v="CUST033"/>
    <s v="Frank Torres"/>
    <x v="9"/>
    <x v="9"/>
    <x v="2"/>
    <n v="3"/>
    <x v="8"/>
    <s v="Cash"/>
    <x v="3"/>
    <x v="1"/>
    <d v="2022-09-19T00:00:00"/>
    <n v="599.97"/>
  </r>
  <r>
    <s v="TRX0083"/>
    <x v="140"/>
    <s v="CUST017"/>
    <s v="Charles Allen"/>
    <x v="6"/>
    <x v="6"/>
    <x v="2"/>
    <n v="5"/>
    <x v="5"/>
    <s v="Cash"/>
    <x v="3"/>
    <x v="2"/>
    <d v="2023-08-04T00:00:00"/>
    <n v="1499.95"/>
  </r>
  <r>
    <s v="TRX0151"/>
    <x v="140"/>
    <s v="CUST040"/>
    <s v="Sharon Butler"/>
    <x v="5"/>
    <x v="5"/>
    <x v="0"/>
    <n v="1"/>
    <x v="4"/>
    <s v="PayPal"/>
    <x v="3"/>
    <x v="0"/>
    <d v="2023-01-08T00:00:00"/>
    <n v="699.99"/>
  </r>
  <r>
    <s v="TRX0047"/>
    <x v="141"/>
    <s v="CUST042"/>
    <s v="Ruth Brooks"/>
    <x v="5"/>
    <x v="5"/>
    <x v="0"/>
    <n v="1"/>
    <x v="4"/>
    <s v="Cash"/>
    <x v="2"/>
    <x v="1"/>
    <d v="2022-01-22T00:00:00"/>
    <n v="699.99"/>
  </r>
  <r>
    <s v="TRX0200"/>
    <x v="141"/>
    <s v="CUST037"/>
    <s v="Arthur Edwards"/>
    <x v="2"/>
    <x v="2"/>
    <x v="2"/>
    <n v="4"/>
    <x v="2"/>
    <s v="PayPal"/>
    <x v="2"/>
    <x v="1"/>
    <d v="2021-08-04T00:00:00"/>
    <n v="599.96"/>
  </r>
  <r>
    <s v="TRX0062"/>
    <x v="141"/>
    <s v="CUST016"/>
    <s v="Elizabeth Hall"/>
    <x v="8"/>
    <x v="8"/>
    <x v="0"/>
    <n v="5"/>
    <x v="7"/>
    <s v="PayPal"/>
    <x v="3"/>
    <x v="1"/>
    <d v="2023-08-02T00:00:00"/>
    <n v="449.95"/>
  </r>
  <r>
    <s v="TRX0182"/>
    <x v="142"/>
    <s v="CUST031"/>
    <s v="Steven Turner"/>
    <x v="9"/>
    <x v="9"/>
    <x v="2"/>
    <n v="2"/>
    <x v="8"/>
    <s v="Cash"/>
    <x v="0"/>
    <x v="1"/>
    <d v="2022-01-12T00:00:00"/>
    <n v="399.98"/>
  </r>
  <r>
    <s v="TRX0229"/>
    <x v="143"/>
    <s v="CUST015"/>
    <s v="Richard Lee"/>
    <x v="1"/>
    <x v="1"/>
    <x v="1"/>
    <n v="4"/>
    <x v="1"/>
    <s v="Cash"/>
    <x v="3"/>
    <x v="2"/>
    <d v="2023-05-24T00:00:00"/>
    <n v="239.96"/>
  </r>
  <r>
    <s v="TRX0048"/>
    <x v="143"/>
    <s v="CUST048"/>
    <s v="Virginia Sanders"/>
    <x v="6"/>
    <x v="6"/>
    <x v="2"/>
    <n v="2"/>
    <x v="5"/>
    <s v="PayPal"/>
    <x v="1"/>
    <x v="0"/>
    <d v="2022-01-15T00:00:00"/>
    <n v="599.98"/>
  </r>
  <r>
    <s v="TRX0227"/>
    <x v="144"/>
    <s v="CUST017"/>
    <s v="Charles Allen"/>
    <x v="2"/>
    <x v="2"/>
    <x v="2"/>
    <n v="2"/>
    <x v="2"/>
    <s v="Cash"/>
    <x v="0"/>
    <x v="0"/>
    <d v="2023-05-22T00:00:00"/>
    <n v="299.98"/>
  </r>
  <r>
    <s v="TRX0226"/>
    <x v="145"/>
    <s v="CUST039"/>
    <s v="Lawrence Reed"/>
    <x v="5"/>
    <x v="5"/>
    <x v="0"/>
    <n v="5"/>
    <x v="4"/>
    <s v="Debit Card"/>
    <x v="4"/>
    <x v="1"/>
    <d v="2023-08-23T00:00:00"/>
    <n v="3499.95"/>
  </r>
  <r>
    <s v="TRX0053"/>
    <x v="146"/>
    <s v="CUST043"/>
    <s v="Dennis Gray"/>
    <x v="1"/>
    <x v="1"/>
    <x v="1"/>
    <n v="5"/>
    <x v="1"/>
    <s v="Cash"/>
    <x v="3"/>
    <x v="1"/>
    <d v="2023-12-31T00:00:00"/>
    <n v="299.95"/>
  </r>
  <r>
    <s v="TRX0233"/>
    <x v="147"/>
    <s v="CUST023"/>
    <s v="Paul Baker"/>
    <x v="8"/>
    <x v="8"/>
    <x v="0"/>
    <n v="2"/>
    <x v="7"/>
    <s v="Credit Card"/>
    <x v="3"/>
    <x v="1"/>
    <d v="2024-01-04T00:00:00"/>
    <n v="179.98"/>
  </r>
  <r>
    <s v="TRX0175"/>
    <x v="147"/>
    <s v="CUST030"/>
    <s v="Helen Roberts"/>
    <x v="0"/>
    <x v="0"/>
    <x v="0"/>
    <n v="5"/>
    <x v="0"/>
    <s v="Cash"/>
    <x v="4"/>
    <x v="2"/>
    <d v="2021-12-10T00:00:00"/>
    <n v="1249.95"/>
  </r>
  <r>
    <s v="TRX0186"/>
    <x v="148"/>
    <s v="CUST039"/>
    <s v="Lawrence Reed"/>
    <x v="2"/>
    <x v="2"/>
    <x v="2"/>
    <n v="2"/>
    <x v="2"/>
    <s v="PayPal"/>
    <x v="0"/>
    <x v="1"/>
    <d v="2022-03-12T00:00:00"/>
    <n v="299.98"/>
  </r>
  <r>
    <s v="TRX0016"/>
    <x v="148"/>
    <s v="CUST035"/>
    <s v="Harry Morgan"/>
    <x v="4"/>
    <x v="4"/>
    <x v="0"/>
    <n v="5"/>
    <x v="3"/>
    <s v="PayPal"/>
    <x v="4"/>
    <x v="1"/>
    <d v="2024-04-07T00:00:00"/>
    <n v="4499.95"/>
  </r>
  <r>
    <s v="TRX0199"/>
    <x v="148"/>
    <s v="CUST017"/>
    <s v="Charles Allen"/>
    <x v="2"/>
    <x v="2"/>
    <x v="2"/>
    <n v="4"/>
    <x v="2"/>
    <s v="Cash"/>
    <x v="0"/>
    <x v="2"/>
    <d v="2023-12-03T00:00:00"/>
    <n v="599.96"/>
  </r>
  <r>
    <s v="TRX0038"/>
    <x v="149"/>
    <s v="CUST035"/>
    <s v="Harry Morgan"/>
    <x v="0"/>
    <x v="0"/>
    <x v="0"/>
    <n v="1"/>
    <x v="0"/>
    <s v="Cash"/>
    <x v="2"/>
    <x v="2"/>
    <d v="2023-07-10T00:00:00"/>
    <n v="249.99"/>
  </r>
  <r>
    <s v="TRX0014"/>
    <x v="150"/>
    <s v="CUST033"/>
    <s v="Frank Torres"/>
    <x v="1"/>
    <x v="1"/>
    <x v="1"/>
    <n v="2"/>
    <x v="1"/>
    <s v="Credit Card"/>
    <x v="3"/>
    <x v="0"/>
    <d v="2023-09-24T00:00:00"/>
    <n v="119.98"/>
  </r>
  <r>
    <s v="TRX0003"/>
    <x v="151"/>
    <s v="CUST002"/>
    <s v="Emma Wilson"/>
    <x v="2"/>
    <x v="2"/>
    <x v="2"/>
    <n v="2"/>
    <x v="2"/>
    <s v="Cash"/>
    <x v="3"/>
    <x v="1"/>
    <d v="2023-11-03T00:00:00"/>
    <n v="299.98"/>
  </r>
  <r>
    <s v="TRX0124"/>
    <x v="151"/>
    <s v="CUST040"/>
    <s v="Sharon Butler"/>
    <x v="4"/>
    <x v="4"/>
    <x v="0"/>
    <n v="3"/>
    <x v="3"/>
    <s v="Debit Card"/>
    <x v="2"/>
    <x v="1"/>
    <d v="2022-11-11T00:00:00"/>
    <n v="2699.97"/>
  </r>
  <r>
    <s v="TRX0013"/>
    <x v="151"/>
    <s v="CUST024"/>
    <s v="Dorothy Nelson"/>
    <x v="4"/>
    <x v="4"/>
    <x v="0"/>
    <n v="3"/>
    <x v="3"/>
    <s v="PayPal"/>
    <x v="2"/>
    <x v="0"/>
    <d v="2023-02-18T00:00:00"/>
    <n v="2699.97"/>
  </r>
  <r>
    <s v="TRX0019"/>
    <x v="152"/>
    <s v="CUST023"/>
    <s v="Paul Baker"/>
    <x v="6"/>
    <x v="6"/>
    <x v="2"/>
    <n v="3"/>
    <x v="5"/>
    <s v="Credit Card"/>
    <x v="3"/>
    <x v="1"/>
    <d v="2023-11-04T00:00:00"/>
    <n v="899.97"/>
  </r>
  <r>
    <s v="TRX0050"/>
    <x v="153"/>
    <s v="CUST001"/>
    <s v="John Smith"/>
    <x v="2"/>
    <x v="2"/>
    <x v="2"/>
    <n v="4"/>
    <x v="2"/>
    <s v="PayPal"/>
    <x v="3"/>
    <x v="2"/>
    <d v="2021-12-30T00:00:00"/>
    <n v="599.96"/>
  </r>
  <r>
    <s v="TRX0152"/>
    <x v="154"/>
    <s v="CUST044"/>
    <s v="Cynthia Price"/>
    <x v="7"/>
    <x v="7"/>
    <x v="1"/>
    <n v="4"/>
    <x v="6"/>
    <s v="Credit Card"/>
    <x v="0"/>
    <x v="0"/>
    <d v="2023-12-28T00:00:00"/>
    <n v="319.95999999999998"/>
  </r>
  <r>
    <s v="TRX0213"/>
    <x v="155"/>
    <s v="CUST020"/>
    <s v="Margaret Wright"/>
    <x v="8"/>
    <x v="8"/>
    <x v="0"/>
    <n v="5"/>
    <x v="7"/>
    <s v="PayPal"/>
    <x v="1"/>
    <x v="0"/>
    <d v="2022-05-23T00:00:00"/>
    <n v="449.95"/>
  </r>
  <r>
    <s v="TRX0197"/>
    <x v="156"/>
    <s v="CUST048"/>
    <s v="Virginia Sanders"/>
    <x v="2"/>
    <x v="2"/>
    <x v="2"/>
    <n v="3"/>
    <x v="2"/>
    <s v="PayPal"/>
    <x v="0"/>
    <x v="2"/>
    <d v="2023-09-02T00:00:00"/>
    <n v="449.97"/>
  </r>
  <r>
    <s v="TRX0250"/>
    <x v="156"/>
    <s v="CUST026"/>
    <s v="Karen Hill"/>
    <x v="8"/>
    <x v="8"/>
    <x v="0"/>
    <n v="2"/>
    <x v="7"/>
    <s v="Debit Card"/>
    <x v="3"/>
    <x v="1"/>
    <d v="2021-11-22T00:00:00"/>
    <n v="179.98"/>
  </r>
  <r>
    <s v="TRX0068"/>
    <x v="157"/>
    <s v="CUST044"/>
    <s v="Cynthia Price"/>
    <x v="5"/>
    <x v="5"/>
    <x v="0"/>
    <n v="2"/>
    <x v="4"/>
    <s v="PayPal"/>
    <x v="2"/>
    <x v="2"/>
    <d v="2022-02-26T00:00:00"/>
    <n v="1399.98"/>
  </r>
  <r>
    <s v="TRX0144"/>
    <x v="158"/>
    <s v="CUST029"/>
    <s v="Edward Mitchell"/>
    <x v="4"/>
    <x v="4"/>
    <x v="0"/>
    <n v="3"/>
    <x v="3"/>
    <s v="Cash"/>
    <x v="0"/>
    <x v="2"/>
    <d v="2023-01-27T00:00:00"/>
    <n v="2699.97"/>
  </r>
  <r>
    <s v="TRX0039"/>
    <x v="159"/>
    <s v="CUST048"/>
    <s v="Virginia Sanders"/>
    <x v="7"/>
    <x v="7"/>
    <x v="1"/>
    <n v="3"/>
    <x v="6"/>
    <s v="Credit Card"/>
    <x v="2"/>
    <x v="0"/>
    <d v="2021-11-11T00:00:00"/>
    <n v="239.97"/>
  </r>
  <r>
    <s v="TRX0116"/>
    <x v="160"/>
    <s v="CUST009"/>
    <s v="Robert Thomas"/>
    <x v="8"/>
    <x v="8"/>
    <x v="0"/>
    <n v="1"/>
    <x v="7"/>
    <s v="Debit Card"/>
    <x v="4"/>
    <x v="0"/>
    <d v="2024-02-24T00:00:00"/>
    <n v="89.99"/>
  </r>
  <r>
    <s v="TRX0120"/>
    <x v="161"/>
    <s v="CUST045"/>
    <s v="Douglas Watson"/>
    <x v="5"/>
    <x v="5"/>
    <x v="0"/>
    <n v="3"/>
    <x v="4"/>
    <s v="PayPal"/>
    <x v="2"/>
    <x v="0"/>
    <d v="2022-12-14T00:00:00"/>
    <n v="2099.9699999999998"/>
  </r>
  <r>
    <s v="TRX0103"/>
    <x v="161"/>
    <s v="CUST039"/>
    <s v="Lawrence Reed"/>
    <x v="8"/>
    <x v="8"/>
    <x v="0"/>
    <n v="2"/>
    <x v="7"/>
    <s v="Debit Card"/>
    <x v="4"/>
    <x v="0"/>
    <d v="2023-06-11T00:00:00"/>
    <n v="179.98"/>
  </r>
  <r>
    <s v="TRX0064"/>
    <x v="161"/>
    <s v="CUST031"/>
    <s v="Steven Turner"/>
    <x v="8"/>
    <x v="8"/>
    <x v="0"/>
    <n v="3"/>
    <x v="7"/>
    <s v="Debit Card"/>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1B15CC-67B4-4AE2-A29A-3CC248017F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V3:W9"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dataField="1" showAll="0">
      <items count="10">
        <item x="1"/>
        <item x="6"/>
        <item x="7"/>
        <item x="2"/>
        <item x="8"/>
        <item x="0"/>
        <item x="5"/>
        <item x="4"/>
        <item x="3"/>
        <item t="default"/>
      </items>
    </pivotField>
    <pivotField showAll="0"/>
    <pivotField axis="axisRow" showAll="0">
      <items count="6">
        <item x="0"/>
        <item x="4"/>
        <item x="2"/>
        <item x="1"/>
        <item x="3"/>
        <item t="default"/>
      </items>
    </pivotField>
    <pivotField showAll="0"/>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6">
    <i>
      <x/>
    </i>
    <i>
      <x v="1"/>
    </i>
    <i>
      <x v="2"/>
    </i>
    <i>
      <x v="3"/>
    </i>
    <i>
      <x v="4"/>
    </i>
    <i t="grand">
      <x/>
    </i>
  </rowItems>
  <colItems count="1">
    <i/>
  </colItems>
  <dataFields count="1">
    <dataField name="Sum of Unit_Price" fld="8" baseField="0" baseItem="0"/>
  </dataFields>
  <chartFormats count="3">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5126A8-BD67-427B-8251-6E57C65AE0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6"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dataField="1" showAll="0"/>
    <pivotField showAll="0"/>
    <pivotField showAll="0"/>
    <pivotField showAll="0"/>
    <pivotField showAll="0"/>
    <pivotField numFmtId="1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1"/>
  </rowFields>
  <rowItems count="3">
    <i>
      <x v="1"/>
    </i>
    <i>
      <x v="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EC29AE-7BA5-4C71-BBB4-8FEE4018BC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P3:Q6"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dataField="1" showAll="0"/>
    <pivotField showAll="0"/>
    <pivotField showAll="0"/>
    <pivotField showAll="0"/>
    <pivotField numFmtId="1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1"/>
  </rowFields>
  <rowItems count="3">
    <i>
      <x v="1"/>
    </i>
    <i>
      <x v="2"/>
    </i>
    <i t="grand">
      <x/>
    </i>
  </rowItems>
  <colItems count="1">
    <i/>
  </colItems>
  <dataFields count="1">
    <dataField name="Sum of Unit_Price" fld="8" baseField="0" baseItem="0"/>
  </dataFields>
  <chartFormats count="3">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DD24F7-D086-428A-9E0F-C95E2AF20C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3:AE51" firstHeaderRow="1" firstDataRow="1" firstDataCol="1"/>
  <pivotFields count="17">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dataField="1" showAll="0"/>
    <pivotField showAll="0"/>
    <pivotField axis="axisRow" showAll="0">
      <items count="6">
        <item sd="0" x="0"/>
        <item x="4"/>
        <item sd="0" x="2"/>
        <item sd="0" x="1"/>
        <item sd="0" x="3"/>
        <item t="default" sd="0"/>
      </items>
    </pivotField>
    <pivotField showAll="0"/>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48">
    <i>
      <x/>
    </i>
    <i>
      <x v="1"/>
    </i>
    <i r="1">
      <x v="5"/>
    </i>
    <i r="1">
      <x v="10"/>
    </i>
    <i r="1">
      <x v="14"/>
    </i>
    <i r="1">
      <x v="16"/>
    </i>
    <i r="1">
      <x v="20"/>
    </i>
    <i r="1">
      <x v="27"/>
    </i>
    <i r="1">
      <x v="28"/>
    </i>
    <i r="1">
      <x v="29"/>
    </i>
    <i r="1">
      <x v="30"/>
    </i>
    <i r="1">
      <x v="32"/>
    </i>
    <i r="1">
      <x v="33"/>
    </i>
    <i r="1">
      <x v="36"/>
    </i>
    <i r="1">
      <x v="37"/>
    </i>
    <i r="1">
      <x v="41"/>
    </i>
    <i r="1">
      <x v="55"/>
    </i>
    <i r="1">
      <x v="58"/>
    </i>
    <i r="1">
      <x v="60"/>
    </i>
    <i r="1">
      <x v="61"/>
    </i>
    <i r="1">
      <x v="69"/>
    </i>
    <i r="1">
      <x v="74"/>
    </i>
    <i r="1">
      <x v="75"/>
    </i>
    <i r="1">
      <x v="77"/>
    </i>
    <i r="1">
      <x v="79"/>
    </i>
    <i r="1">
      <x v="82"/>
    </i>
    <i r="1">
      <x v="85"/>
    </i>
    <i r="1">
      <x v="104"/>
    </i>
    <i r="1">
      <x v="106"/>
    </i>
    <i r="1">
      <x v="107"/>
    </i>
    <i r="1">
      <x v="109"/>
    </i>
    <i r="1">
      <x v="111"/>
    </i>
    <i r="1">
      <x v="120"/>
    </i>
    <i r="1">
      <x v="123"/>
    </i>
    <i r="1">
      <x v="126"/>
    </i>
    <i r="1">
      <x v="127"/>
    </i>
    <i r="1">
      <x v="128"/>
    </i>
    <i r="1">
      <x v="135"/>
    </i>
    <i r="1">
      <x v="139"/>
    </i>
    <i r="1">
      <x v="145"/>
    </i>
    <i r="1">
      <x v="147"/>
    </i>
    <i r="1">
      <x v="148"/>
    </i>
    <i r="1">
      <x v="160"/>
    </i>
    <i r="1">
      <x v="161"/>
    </i>
    <i>
      <x v="2"/>
    </i>
    <i>
      <x v="3"/>
    </i>
    <i>
      <x v="4"/>
    </i>
    <i t="grand">
      <x/>
    </i>
  </rowItems>
  <colItems count="1">
    <i/>
  </colItems>
  <dataFields count="1">
    <dataField name="Sum of Unit_Price" fld="8" baseField="0" baseItem="0"/>
  </dataFields>
  <chartFormats count="2">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3AFDCB-EFCA-48BB-A856-008FE711DA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Y3:Z14" firstHeaderRow="1" firstDataRow="1" firstDataCol="1"/>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dataField="1" showAll="0"/>
    <pivotField showAll="0"/>
    <pivotField showAll="0">
      <items count="6">
        <item x="0"/>
        <item x="4"/>
        <item x="2"/>
        <item x="1"/>
        <item x="3"/>
        <item t="default"/>
      </items>
    </pivotField>
    <pivotField showAll="0"/>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1">
    <i>
      <x/>
    </i>
    <i>
      <x v="1"/>
    </i>
    <i>
      <x v="2"/>
    </i>
    <i>
      <x v="3"/>
    </i>
    <i>
      <x v="4"/>
    </i>
    <i>
      <x v="5"/>
    </i>
    <i>
      <x v="6"/>
    </i>
    <i>
      <x v="7"/>
    </i>
    <i>
      <x v="8"/>
    </i>
    <i>
      <x v="9"/>
    </i>
    <i t="grand">
      <x/>
    </i>
  </rowItems>
  <colItems count="1">
    <i/>
  </colItems>
  <dataFields count="1">
    <dataField name="Sum of Unit_Price" fld="8" baseField="0" baseItem="0"/>
  </dataFields>
  <chartFormats count="2">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C5C75-4E77-4564-BFB3-B204E5ACFE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I14" firstHeaderRow="0" firstDataRow="1" firstDataCol="2"/>
  <pivotFields count="17">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items count="11">
        <item x="4"/>
        <item x="5"/>
        <item x="3"/>
        <item x="7"/>
        <item x="1"/>
        <item x="9"/>
        <item x="6"/>
        <item x="2"/>
        <item x="0"/>
        <item x="8"/>
        <item t="default"/>
      </items>
    </pivotField>
    <pivotField axis="axisRow" outline="0" showAll="0" defaultSubtotal="0">
      <items count="10">
        <item x="1"/>
        <item x="2"/>
        <item x="7"/>
        <item x="6"/>
        <item x="3"/>
        <item x="8"/>
        <item x="4"/>
        <item x="0"/>
        <item x="9"/>
        <item x="5"/>
      </items>
    </pivotField>
    <pivotField axis="axisRow" outline="0" showAll="0" defaultSubtotal="0">
      <items count="3">
        <item x="1"/>
        <item x="0"/>
        <item x="2"/>
      </items>
    </pivotField>
    <pivotField dataField="1" showAll="0"/>
    <pivotField showAll="0"/>
    <pivotField showAll="0"/>
    <pivotField showAll="0">
      <items count="6">
        <item x="0"/>
        <item x="4"/>
        <item x="2"/>
        <item x="1"/>
        <item x="3"/>
        <item t="default"/>
      </items>
    </pivotField>
    <pivotField showAll="0"/>
    <pivotField numFmtId="14" showAll="0"/>
    <pivotField dataField="1" showAll="0"/>
    <pivotField showAll="0" defaultSubtotal="0"/>
    <pivotField showAll="0" defaultSubtotal="0"/>
    <pivotField showAll="0" defaultSubtotal="0">
      <items count="4">
        <item x="0"/>
        <item x="1"/>
        <item x="2"/>
        <item x="3"/>
      </items>
    </pivotField>
  </pivotFields>
  <rowFields count="2">
    <field x="6"/>
    <field x="5"/>
  </rowFields>
  <rowItems count="11">
    <i>
      <x/>
      <x/>
    </i>
    <i r="1">
      <x v="2"/>
    </i>
    <i>
      <x v="1"/>
      <x v="4"/>
    </i>
    <i r="1">
      <x v="5"/>
    </i>
    <i r="1">
      <x v="6"/>
    </i>
    <i r="1">
      <x v="7"/>
    </i>
    <i r="1">
      <x v="9"/>
    </i>
    <i>
      <x v="2"/>
      <x v="1"/>
    </i>
    <i r="1">
      <x v="3"/>
    </i>
    <i r="1">
      <x v="8"/>
    </i>
    <i t="grand">
      <x/>
    </i>
  </rowItems>
  <colFields count="1">
    <field x="-2"/>
  </colFields>
  <colItems count="2">
    <i>
      <x/>
    </i>
    <i i="1">
      <x v="1"/>
    </i>
  </colItems>
  <dataFields count="2">
    <dataField name="Sum of Quantity" fld="7" baseField="0" baseItem="0"/>
    <dataField name="Sum of Total_Amount" fld="1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A728025-C735-4E2D-AD21-EE9AC020AF0B}" sourceName="Product_Name">
  <pivotTables>
    <pivotTable tabId="7" name="PivotTable4"/>
  </pivotTables>
  <data>
    <tabular pivotCacheId="341921029">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04817100-5AA7-4058-859B-AD142A01A1AF}" sourceName="Unit_Price">
  <pivotTables>
    <pivotTable tabId="7" name="PivotTable3"/>
  </pivotTables>
  <data>
    <tabular pivotCacheId="341921029">
      <items count="9">
        <i x="1" s="1"/>
        <i x="6" s="1"/>
        <i x="7" s="1"/>
        <i x="2" s="1"/>
        <i x="8" s="1"/>
        <i x="0"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FF77EB-231D-4600-B622-6074DF8D4211}" sourceName="Region">
  <pivotTables>
    <pivotTable tabId="7" name="PivotTable6"/>
  </pivotTables>
  <data>
    <tabular pivotCacheId="34192102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_Price 1" xr10:uid="{4772A019-F5B2-41CA-86F2-F95F7A435C2C}" cache="Slicer_Unit_Price" caption="Unit_Price" style="SlicerStyleLight5" rowHeight="241300"/>
  <slicer name="Region" xr10:uid="{72C2733A-2E61-4C42-999D-EF204E0E62A9}" cache="Slicer_Region" caption="Region"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22C371D5-A4E5-4951-86D4-ABDE5F691D9C}" cache="Slicer_Product_Name" caption="Product_Name" rowHeight="241300"/>
  <slicer name="Unit_Price" xr10:uid="{8FAADB90-7A99-4E35-A950-369C6855DC19}" cache="Slicer_Unit_Price" caption="Unit_Pric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zoomScale="85" zoomScaleNormal="85" workbookViewId="0">
      <selection activeCell="A9" sqref="A9:A25"/>
    </sheetView>
  </sheetViews>
  <sheetFormatPr defaultColWidth="14.453125" defaultRowHeight="15" customHeight="1" x14ac:dyDescent="0.35"/>
  <cols>
    <col min="1" max="1" width="94.90625" customWidth="1"/>
    <col min="2" max="25" width="8.6328125" customWidth="1"/>
  </cols>
  <sheetData>
    <row r="1" spans="1:25" ht="14.5" x14ac:dyDescent="0.35">
      <c r="A1" s="1" t="s">
        <v>0</v>
      </c>
      <c r="B1" s="2"/>
      <c r="C1" s="2"/>
      <c r="D1" s="2"/>
      <c r="E1" s="2"/>
      <c r="F1" s="2"/>
      <c r="G1" s="2"/>
      <c r="H1" s="2"/>
      <c r="I1" s="2"/>
      <c r="J1" s="2"/>
      <c r="K1" s="2"/>
      <c r="L1" s="2"/>
      <c r="M1" s="2"/>
      <c r="N1" s="2"/>
      <c r="O1" s="2"/>
      <c r="P1" s="2"/>
      <c r="Q1" s="2"/>
      <c r="R1" s="2"/>
      <c r="S1" s="2"/>
      <c r="T1" s="2"/>
      <c r="U1" s="2"/>
      <c r="V1" s="2"/>
      <c r="W1" s="2"/>
      <c r="X1" s="2"/>
      <c r="Y1" s="2"/>
    </row>
    <row r="2" spans="1:25" ht="14.5" x14ac:dyDescent="0.35">
      <c r="A2" s="5" t="s">
        <v>65</v>
      </c>
      <c r="B2" s="2"/>
      <c r="C2" s="2"/>
      <c r="D2" s="2"/>
      <c r="E2" s="2"/>
      <c r="F2" s="2"/>
      <c r="G2" s="2"/>
      <c r="H2" s="2"/>
      <c r="I2" s="2"/>
      <c r="J2" s="2"/>
      <c r="K2" s="2"/>
      <c r="L2" s="2"/>
      <c r="M2" s="2"/>
      <c r="N2" s="2"/>
      <c r="O2" s="2"/>
      <c r="P2" s="2"/>
      <c r="Q2" s="2"/>
      <c r="R2" s="2"/>
      <c r="S2" s="2"/>
      <c r="T2" s="2"/>
      <c r="U2" s="2"/>
      <c r="V2" s="2"/>
      <c r="W2" s="2"/>
      <c r="X2" s="2"/>
      <c r="Y2" s="2"/>
    </row>
    <row r="3" spans="1:25" ht="14.5" x14ac:dyDescent="0.35">
      <c r="B3" s="2"/>
      <c r="C3" s="2"/>
      <c r="D3" s="2"/>
      <c r="E3" s="2"/>
      <c r="F3" s="2"/>
      <c r="G3" s="2"/>
      <c r="H3" s="2"/>
      <c r="I3" s="2"/>
      <c r="J3" s="2"/>
      <c r="K3" s="2"/>
      <c r="L3" s="2"/>
      <c r="M3" s="2"/>
      <c r="N3" s="2"/>
      <c r="O3" s="2"/>
      <c r="P3" s="2"/>
      <c r="Q3" s="2"/>
      <c r="R3" s="2"/>
      <c r="S3" s="2"/>
      <c r="T3" s="2"/>
      <c r="U3" s="2"/>
      <c r="V3" s="2"/>
      <c r="W3" s="2"/>
      <c r="X3" s="2"/>
      <c r="Y3" s="2"/>
    </row>
    <row r="4" spans="1:25" ht="14.5" x14ac:dyDescent="0.35">
      <c r="A4" s="5" t="s">
        <v>66</v>
      </c>
      <c r="B4" s="2"/>
      <c r="C4" s="2"/>
      <c r="D4" s="2"/>
      <c r="E4" s="2"/>
      <c r="F4" s="2"/>
      <c r="G4" s="2"/>
      <c r="H4" s="2"/>
      <c r="I4" s="2"/>
      <c r="J4" s="2"/>
      <c r="K4" s="2"/>
      <c r="L4" s="2"/>
      <c r="M4" s="2"/>
      <c r="N4" s="2"/>
      <c r="O4" s="2"/>
      <c r="P4" s="2"/>
      <c r="Q4" s="2"/>
      <c r="R4" s="2"/>
      <c r="S4" s="2"/>
      <c r="T4" s="2"/>
      <c r="U4" s="2"/>
      <c r="V4" s="2"/>
      <c r="W4" s="2"/>
      <c r="X4" s="2"/>
      <c r="Y4" s="2"/>
    </row>
    <row r="5" spans="1:25" ht="14.5" x14ac:dyDescent="0.35">
      <c r="A5" s="6" t="s">
        <v>67</v>
      </c>
      <c r="B5" s="2"/>
      <c r="C5" s="2"/>
      <c r="D5" s="2"/>
      <c r="E5" s="2"/>
      <c r="F5" s="2"/>
      <c r="G5" s="2"/>
      <c r="H5" s="2"/>
      <c r="I5" s="2"/>
      <c r="J5" s="2"/>
      <c r="K5" s="2"/>
      <c r="L5" s="2"/>
      <c r="M5" s="2"/>
      <c r="N5" s="2"/>
      <c r="O5" s="2"/>
      <c r="P5" s="2"/>
      <c r="Q5" s="2"/>
      <c r="R5" s="2"/>
      <c r="S5" s="2"/>
      <c r="T5" s="2"/>
      <c r="U5" s="2"/>
      <c r="V5" s="2"/>
      <c r="W5" s="2"/>
      <c r="X5" s="2"/>
      <c r="Y5" s="2"/>
    </row>
    <row r="6" spans="1:25" ht="14.5" x14ac:dyDescent="0.35">
      <c r="A6" s="6" t="s">
        <v>68</v>
      </c>
      <c r="B6" s="2"/>
      <c r="C6" s="2"/>
      <c r="D6" s="2"/>
      <c r="E6" s="2"/>
      <c r="F6" s="2"/>
      <c r="G6" s="2"/>
      <c r="H6" s="2"/>
      <c r="I6" s="2"/>
      <c r="J6" s="2"/>
      <c r="K6" s="2"/>
      <c r="L6" s="2"/>
      <c r="M6" s="2"/>
      <c r="N6" s="2"/>
      <c r="O6" s="2"/>
      <c r="P6" s="2"/>
      <c r="Q6" s="2"/>
      <c r="R6" s="2"/>
      <c r="S6" s="2"/>
      <c r="T6" s="2"/>
      <c r="U6" s="2"/>
      <c r="V6" s="2"/>
      <c r="W6" s="2"/>
      <c r="X6" s="2"/>
      <c r="Y6" s="2"/>
    </row>
    <row r="7" spans="1:25" ht="14.5" x14ac:dyDescent="0.35">
      <c r="B7" s="2"/>
      <c r="C7" s="2"/>
      <c r="D7" s="2"/>
      <c r="E7" s="2"/>
      <c r="F7" s="2"/>
      <c r="G7" s="2"/>
      <c r="H7" s="2"/>
      <c r="I7" s="2"/>
      <c r="J7" s="2"/>
      <c r="K7" s="2"/>
      <c r="L7" s="2"/>
      <c r="M7" s="2"/>
      <c r="N7" s="2"/>
      <c r="O7" s="2"/>
      <c r="P7" s="2"/>
      <c r="Q7" s="2"/>
      <c r="R7" s="2"/>
      <c r="S7" s="2"/>
      <c r="T7" s="2"/>
      <c r="U7" s="2"/>
      <c r="V7" s="2"/>
      <c r="W7" s="2"/>
      <c r="X7" s="2"/>
      <c r="Y7" s="2"/>
    </row>
    <row r="8" spans="1:25" ht="14.5" x14ac:dyDescent="0.35">
      <c r="A8" s="7" t="s">
        <v>69</v>
      </c>
      <c r="B8" s="2"/>
      <c r="C8" s="2"/>
      <c r="D8" s="2"/>
      <c r="E8" s="2"/>
      <c r="F8" s="2"/>
      <c r="G8" s="2"/>
      <c r="H8" s="2"/>
      <c r="I8" s="2"/>
      <c r="J8" s="2"/>
      <c r="K8" s="2"/>
      <c r="L8" s="2"/>
      <c r="M8" s="2"/>
      <c r="N8" s="2"/>
      <c r="O8" s="2"/>
      <c r="P8" s="2"/>
      <c r="Q8" s="2"/>
      <c r="R8" s="2"/>
      <c r="S8" s="2"/>
      <c r="T8" s="2"/>
      <c r="U8" s="2"/>
      <c r="V8" s="2"/>
      <c r="W8" s="2"/>
      <c r="X8" s="2"/>
      <c r="Y8" s="2"/>
    </row>
    <row r="9" spans="1:25" ht="14.5" x14ac:dyDescent="0.35">
      <c r="A9" s="8" t="s">
        <v>70</v>
      </c>
      <c r="B9" s="2"/>
      <c r="C9" s="2"/>
      <c r="D9" s="2"/>
      <c r="E9" s="2"/>
      <c r="F9" s="2"/>
      <c r="G9" s="2"/>
      <c r="H9" s="2"/>
      <c r="I9" s="2"/>
      <c r="J9" s="2"/>
      <c r="K9" s="2"/>
      <c r="L9" s="2"/>
      <c r="M9" s="2"/>
      <c r="N9" s="2"/>
      <c r="O9" s="2"/>
      <c r="P9" s="2"/>
      <c r="Q9" s="2"/>
      <c r="R9" s="2"/>
      <c r="S9" s="2"/>
      <c r="T9" s="2"/>
      <c r="U9" s="2"/>
      <c r="V9" s="2"/>
      <c r="W9" s="2"/>
      <c r="X9" s="2"/>
      <c r="Y9" s="2"/>
    </row>
    <row r="10" spans="1:25" ht="14.5" x14ac:dyDescent="0.35">
      <c r="A10" s="8" t="s">
        <v>71</v>
      </c>
      <c r="B10" s="2"/>
      <c r="C10" s="2"/>
      <c r="D10" s="2"/>
      <c r="E10" s="2"/>
      <c r="F10" s="2"/>
      <c r="G10" s="2"/>
      <c r="H10" s="2"/>
      <c r="I10" s="2"/>
      <c r="J10" s="2"/>
      <c r="K10" s="2"/>
      <c r="L10" s="2"/>
      <c r="M10" s="2"/>
      <c r="N10" s="2"/>
      <c r="O10" s="2"/>
      <c r="P10" s="2"/>
      <c r="Q10" s="2"/>
      <c r="R10" s="2"/>
      <c r="S10" s="2"/>
      <c r="T10" s="2"/>
      <c r="U10" s="2"/>
      <c r="V10" s="2"/>
      <c r="W10" s="2"/>
      <c r="X10" s="2"/>
      <c r="Y10" s="2"/>
    </row>
    <row r="11" spans="1:25" ht="14.5" x14ac:dyDescent="0.35">
      <c r="A11" s="8" t="s">
        <v>72</v>
      </c>
      <c r="B11" s="2"/>
      <c r="C11" s="2"/>
      <c r="D11" s="2"/>
      <c r="E11" s="2"/>
      <c r="F11" s="2"/>
      <c r="G11" s="2"/>
      <c r="H11" s="2"/>
      <c r="I11" s="2"/>
      <c r="J11" s="2"/>
      <c r="K11" s="2"/>
      <c r="L11" s="2"/>
      <c r="M11" s="2"/>
      <c r="N11" s="2"/>
      <c r="O11" s="2"/>
      <c r="P11" s="2"/>
      <c r="Q11" s="2"/>
      <c r="R11" s="2"/>
      <c r="S11" s="2"/>
      <c r="T11" s="2"/>
      <c r="U11" s="2"/>
      <c r="V11" s="2"/>
      <c r="W11" s="2"/>
      <c r="X11" s="2"/>
      <c r="Y11" s="2"/>
    </row>
    <row r="12" spans="1:25" ht="14.5" x14ac:dyDescent="0.35">
      <c r="A12" s="8" t="s">
        <v>73</v>
      </c>
      <c r="B12" s="2"/>
      <c r="C12" s="2"/>
      <c r="D12" s="2"/>
      <c r="E12" s="2"/>
      <c r="F12" s="2"/>
      <c r="G12" s="2"/>
      <c r="H12" s="2"/>
      <c r="I12" s="2"/>
      <c r="J12" s="2"/>
      <c r="K12" s="2"/>
      <c r="L12" s="2"/>
      <c r="M12" s="2"/>
      <c r="N12" s="2"/>
      <c r="O12" s="2"/>
      <c r="P12" s="2"/>
      <c r="Q12" s="2"/>
      <c r="R12" s="2"/>
      <c r="S12" s="2"/>
      <c r="T12" s="2"/>
      <c r="U12" s="2"/>
      <c r="V12" s="2"/>
      <c r="W12" s="2"/>
      <c r="X12" s="2"/>
      <c r="Y12" s="2"/>
    </row>
    <row r="13" spans="1:25" ht="14.5" x14ac:dyDescent="0.35">
      <c r="A13" s="8" t="s">
        <v>74</v>
      </c>
      <c r="B13" s="2"/>
      <c r="C13" s="2"/>
      <c r="D13" s="2"/>
      <c r="E13" s="2"/>
      <c r="F13" s="2"/>
      <c r="G13" s="2"/>
      <c r="H13" s="2"/>
      <c r="I13" s="2"/>
      <c r="J13" s="2"/>
      <c r="K13" s="2"/>
      <c r="L13" s="2"/>
      <c r="M13" s="2"/>
      <c r="N13" s="2"/>
      <c r="O13" s="2"/>
      <c r="P13" s="2"/>
      <c r="Q13" s="2"/>
      <c r="R13" s="2"/>
      <c r="S13" s="2"/>
      <c r="T13" s="2"/>
      <c r="U13" s="2"/>
      <c r="V13" s="2"/>
      <c r="W13" s="2"/>
      <c r="X13" s="2"/>
      <c r="Y13" s="2"/>
    </row>
    <row r="14" spans="1:25" ht="14.5" x14ac:dyDescent="0.35">
      <c r="A14" s="8" t="s">
        <v>75</v>
      </c>
      <c r="B14" s="2"/>
      <c r="C14" s="2"/>
      <c r="D14" s="2"/>
      <c r="E14" s="2"/>
      <c r="F14" s="2"/>
      <c r="G14" s="2"/>
      <c r="H14" s="2"/>
      <c r="I14" s="2"/>
      <c r="J14" s="2"/>
      <c r="K14" s="2"/>
      <c r="L14" s="2"/>
      <c r="M14" s="2"/>
      <c r="N14" s="2"/>
      <c r="O14" s="2"/>
      <c r="P14" s="2"/>
      <c r="Q14" s="2"/>
      <c r="R14" s="2"/>
      <c r="S14" s="2"/>
      <c r="T14" s="2"/>
      <c r="U14" s="2"/>
      <c r="V14" s="2"/>
      <c r="W14" s="2"/>
      <c r="X14" s="2"/>
      <c r="Y14" s="2"/>
    </row>
    <row r="15" spans="1:25" ht="14.5" x14ac:dyDescent="0.35">
      <c r="A15" s="8" t="s">
        <v>76</v>
      </c>
      <c r="B15" s="2"/>
      <c r="C15" s="2"/>
      <c r="D15" s="2"/>
      <c r="E15" s="2"/>
      <c r="F15" s="2"/>
      <c r="G15" s="2"/>
      <c r="H15" s="2"/>
      <c r="I15" s="2"/>
      <c r="J15" s="2"/>
      <c r="K15" s="2"/>
      <c r="L15" s="2"/>
      <c r="M15" s="2"/>
      <c r="N15" s="2"/>
      <c r="O15" s="2"/>
      <c r="P15" s="2"/>
      <c r="Q15" s="2"/>
      <c r="R15" s="2"/>
      <c r="S15" s="2"/>
      <c r="T15" s="2"/>
      <c r="U15" s="2"/>
      <c r="V15" s="2"/>
      <c r="W15" s="2"/>
      <c r="X15" s="2"/>
      <c r="Y15" s="2"/>
    </row>
    <row r="16" spans="1:25" ht="14.5" x14ac:dyDescent="0.35">
      <c r="A16" s="8" t="s">
        <v>77</v>
      </c>
      <c r="B16" s="2"/>
      <c r="C16" s="2"/>
      <c r="D16" s="2"/>
      <c r="E16" s="2"/>
      <c r="F16" s="2"/>
      <c r="G16" s="2"/>
      <c r="H16" s="2"/>
      <c r="I16" s="2"/>
      <c r="J16" s="2"/>
      <c r="K16" s="2"/>
      <c r="L16" s="2"/>
      <c r="M16" s="2"/>
      <c r="N16" s="2"/>
      <c r="O16" s="2"/>
      <c r="P16" s="2"/>
      <c r="Q16" s="2"/>
      <c r="R16" s="2"/>
      <c r="S16" s="2"/>
      <c r="T16" s="2"/>
      <c r="U16" s="2"/>
      <c r="V16" s="2"/>
      <c r="W16" s="2"/>
      <c r="X16" s="2"/>
      <c r="Y16" s="2"/>
    </row>
    <row r="17" spans="1:25" ht="14.5" x14ac:dyDescent="0.35">
      <c r="A17" s="8" t="s">
        <v>78</v>
      </c>
      <c r="B17" s="2"/>
      <c r="C17" s="2"/>
      <c r="D17" s="2"/>
      <c r="E17" s="2"/>
      <c r="F17" s="2"/>
      <c r="G17" s="2"/>
      <c r="H17" s="2"/>
      <c r="I17" s="2"/>
      <c r="J17" s="2"/>
      <c r="K17" s="2"/>
      <c r="L17" s="2"/>
      <c r="M17" s="2"/>
      <c r="N17" s="2"/>
      <c r="O17" s="2"/>
      <c r="P17" s="2"/>
      <c r="Q17" s="2"/>
      <c r="R17" s="2"/>
      <c r="S17" s="2"/>
      <c r="T17" s="2"/>
      <c r="U17" s="2"/>
      <c r="V17" s="2"/>
      <c r="W17" s="2"/>
      <c r="X17" s="2"/>
      <c r="Y17" s="2"/>
    </row>
    <row r="18" spans="1:25" ht="14.5" x14ac:dyDescent="0.35">
      <c r="A18" s="8" t="s">
        <v>79</v>
      </c>
      <c r="B18" s="2"/>
      <c r="C18" s="2"/>
      <c r="D18" s="2"/>
      <c r="E18" s="2"/>
      <c r="F18" s="2"/>
      <c r="G18" s="2"/>
      <c r="H18" s="2"/>
      <c r="I18" s="2"/>
      <c r="J18" s="2"/>
      <c r="K18" s="2"/>
      <c r="L18" s="2"/>
      <c r="M18" s="2"/>
      <c r="N18" s="2"/>
      <c r="O18" s="2"/>
      <c r="P18" s="2"/>
      <c r="Q18" s="2"/>
      <c r="R18" s="2"/>
      <c r="S18" s="2"/>
      <c r="T18" s="2"/>
      <c r="U18" s="2"/>
      <c r="V18" s="2"/>
      <c r="W18" s="2"/>
      <c r="X18" s="2"/>
      <c r="Y18" s="2"/>
    </row>
    <row r="19" spans="1:25" ht="14.5" x14ac:dyDescent="0.35">
      <c r="A19" s="8" t="s">
        <v>80</v>
      </c>
      <c r="B19" s="2"/>
      <c r="C19" s="2"/>
      <c r="D19" s="2"/>
      <c r="E19" s="2"/>
      <c r="F19" s="2"/>
      <c r="G19" s="2"/>
      <c r="H19" s="2"/>
      <c r="I19" s="2"/>
      <c r="J19" s="2"/>
      <c r="K19" s="2"/>
      <c r="L19" s="2"/>
      <c r="M19" s="2"/>
      <c r="N19" s="2"/>
      <c r="O19" s="2"/>
      <c r="P19" s="2"/>
      <c r="Q19" s="2"/>
      <c r="R19" s="2"/>
      <c r="S19" s="2"/>
      <c r="T19" s="2"/>
      <c r="U19" s="2"/>
      <c r="V19" s="2"/>
      <c r="W19" s="2"/>
      <c r="X19" s="2"/>
      <c r="Y19" s="2"/>
    </row>
    <row r="20" spans="1:25" ht="14.5" x14ac:dyDescent="0.35">
      <c r="A20" s="8" t="s">
        <v>81</v>
      </c>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5">
      <c r="A21" s="8" t="s">
        <v>82</v>
      </c>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5">
      <c r="A22" s="8" t="s">
        <v>83</v>
      </c>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5">
      <c r="A23" s="8" t="s">
        <v>84</v>
      </c>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5">
      <c r="A24" s="8" t="s">
        <v>85</v>
      </c>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5">
      <c r="A25" s="8" t="s">
        <v>86</v>
      </c>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5">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5">
      <c r="A27" s="5" t="s">
        <v>87</v>
      </c>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5">
      <c r="A28" s="6" t="s">
        <v>88</v>
      </c>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5">
      <c r="A29" s="6" t="s">
        <v>89</v>
      </c>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5">
      <c r="A30" s="6" t="s">
        <v>90</v>
      </c>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85E44-A23C-4694-BBEB-F40120780607}">
  <dimension ref="A1:AA29"/>
  <sheetViews>
    <sheetView tabSelected="1" zoomScale="69" workbookViewId="0">
      <selection activeCell="R28" sqref="R28"/>
    </sheetView>
  </sheetViews>
  <sheetFormatPr defaultRowHeight="14.5" x14ac:dyDescent="0.35"/>
  <sheetData>
    <row r="1" spans="1:27" x14ac:dyDescent="0.35">
      <c r="A1" s="27"/>
      <c r="B1" s="27"/>
      <c r="C1" s="27"/>
      <c r="D1" s="27"/>
      <c r="E1" s="27"/>
      <c r="F1" s="27"/>
      <c r="G1" s="27"/>
      <c r="H1" s="27"/>
      <c r="I1" s="27"/>
      <c r="J1" s="27"/>
      <c r="K1" s="27"/>
      <c r="L1" s="27"/>
      <c r="M1" s="27"/>
      <c r="N1" s="27"/>
      <c r="O1" s="27"/>
      <c r="P1" s="27"/>
      <c r="Q1" s="27"/>
      <c r="R1" s="27"/>
      <c r="S1" s="27"/>
      <c r="T1" s="27"/>
      <c r="U1" s="27"/>
      <c r="V1" s="27"/>
      <c r="W1" s="27"/>
      <c r="X1" s="27"/>
      <c r="Y1" s="27"/>
      <c r="Z1" s="27"/>
      <c r="AA1" s="27"/>
    </row>
    <row r="2" spans="1:27" x14ac:dyDescent="0.35">
      <c r="A2" s="27"/>
      <c r="B2" s="27"/>
      <c r="C2" s="27"/>
      <c r="D2" s="27"/>
      <c r="E2" s="27"/>
      <c r="F2" s="27"/>
      <c r="G2" s="27"/>
      <c r="H2" s="27"/>
      <c r="I2" s="27"/>
      <c r="J2" s="27"/>
      <c r="K2" s="27"/>
      <c r="L2" s="27"/>
      <c r="M2" s="27"/>
      <c r="N2" s="27"/>
      <c r="O2" s="27"/>
      <c r="P2" s="27"/>
      <c r="Q2" s="27"/>
      <c r="R2" s="27"/>
      <c r="S2" s="27"/>
      <c r="T2" s="27"/>
      <c r="U2" s="27"/>
      <c r="V2" s="27"/>
      <c r="W2" s="27"/>
      <c r="X2" s="27"/>
      <c r="Y2" s="27"/>
      <c r="Z2" s="27"/>
      <c r="AA2" s="27"/>
    </row>
    <row r="3" spans="1:27" ht="14" customHeight="1" x14ac:dyDescent="0.35">
      <c r="A3" s="27"/>
      <c r="B3" s="27"/>
      <c r="C3" s="27"/>
      <c r="D3" s="27"/>
      <c r="E3" s="27"/>
      <c r="F3" s="27"/>
      <c r="G3" s="27"/>
      <c r="H3" s="27"/>
      <c r="I3" s="27"/>
      <c r="J3" s="27"/>
      <c r="K3" s="27"/>
      <c r="L3" s="27"/>
      <c r="M3" s="27"/>
      <c r="N3" s="27"/>
      <c r="O3" s="27"/>
      <c r="P3" s="27"/>
      <c r="Q3" s="27"/>
      <c r="R3" s="27"/>
      <c r="S3" s="27"/>
      <c r="T3" s="27"/>
      <c r="U3" s="27"/>
      <c r="V3" s="27"/>
      <c r="W3" s="27"/>
      <c r="X3" s="27"/>
      <c r="Y3" s="27"/>
      <c r="Z3" s="27"/>
      <c r="AA3" s="27"/>
    </row>
    <row r="4" spans="1:27" x14ac:dyDescent="0.35">
      <c r="A4" s="27"/>
      <c r="B4" s="27"/>
      <c r="C4" s="27"/>
      <c r="D4" s="27"/>
      <c r="E4" s="27"/>
      <c r="F4" s="27"/>
      <c r="G4" s="27"/>
      <c r="H4" s="27"/>
      <c r="I4" s="27"/>
      <c r="J4" s="27"/>
      <c r="K4" s="27"/>
      <c r="L4" s="27"/>
      <c r="M4" s="27"/>
      <c r="N4" s="27"/>
      <c r="O4" s="27"/>
      <c r="P4" s="27"/>
      <c r="Q4" s="27"/>
      <c r="R4" s="27"/>
      <c r="S4" s="27"/>
      <c r="T4" s="27"/>
      <c r="U4" s="27"/>
      <c r="V4" s="27"/>
      <c r="W4" s="27"/>
      <c r="X4" s="27"/>
      <c r="Y4" s="27"/>
      <c r="Z4" s="27"/>
      <c r="AA4" s="27"/>
    </row>
    <row r="5" spans="1:27" x14ac:dyDescent="0.35">
      <c r="A5" s="27"/>
      <c r="B5" s="27"/>
      <c r="C5" s="27"/>
      <c r="D5" s="27"/>
      <c r="E5" s="27"/>
      <c r="F5" s="27"/>
      <c r="G5" s="27"/>
      <c r="H5" s="27"/>
      <c r="I5" s="27"/>
      <c r="J5" s="27"/>
      <c r="K5" s="27"/>
      <c r="L5" s="27"/>
      <c r="M5" s="27"/>
      <c r="N5" s="27"/>
      <c r="O5" s="27"/>
      <c r="P5" s="27"/>
      <c r="Q5" s="27"/>
      <c r="R5" s="27"/>
      <c r="S5" s="27"/>
      <c r="T5" s="27"/>
      <c r="U5" s="27"/>
      <c r="V5" s="27"/>
      <c r="W5" s="27"/>
      <c r="X5" s="27"/>
      <c r="Y5" s="27"/>
      <c r="Z5" s="27"/>
      <c r="AA5" s="27"/>
    </row>
    <row r="6" spans="1:27" x14ac:dyDescent="0.35">
      <c r="A6" s="27"/>
      <c r="B6" s="27"/>
      <c r="C6" s="27"/>
      <c r="D6" s="27"/>
      <c r="E6" s="27"/>
      <c r="F6" s="27"/>
      <c r="G6" s="27"/>
      <c r="H6" s="27"/>
      <c r="I6" s="27"/>
      <c r="J6" s="27"/>
      <c r="K6" s="27"/>
      <c r="L6" s="27"/>
      <c r="M6" s="27"/>
      <c r="N6" s="27"/>
      <c r="O6" s="27"/>
      <c r="P6" s="27"/>
      <c r="Q6" s="27"/>
      <c r="R6" s="27"/>
      <c r="S6" s="27"/>
      <c r="T6" s="27"/>
      <c r="U6" s="27"/>
      <c r="V6" s="27"/>
      <c r="W6" s="27"/>
      <c r="X6" s="27"/>
      <c r="Y6" s="27"/>
      <c r="Z6" s="27"/>
      <c r="AA6" s="27"/>
    </row>
    <row r="7" spans="1:27" x14ac:dyDescent="0.35">
      <c r="A7" s="27"/>
      <c r="B7" s="27"/>
      <c r="C7" s="27"/>
      <c r="D7" s="27"/>
      <c r="E7" s="27"/>
      <c r="F7" s="27"/>
      <c r="G7" s="27"/>
      <c r="H7" s="27"/>
      <c r="I7" s="27"/>
      <c r="J7" s="27"/>
      <c r="K7" s="27"/>
      <c r="L7" s="27"/>
      <c r="M7" s="27"/>
      <c r="N7" s="27"/>
      <c r="O7" s="27"/>
      <c r="P7" s="27"/>
      <c r="Q7" s="27"/>
      <c r="R7" s="27"/>
      <c r="S7" s="27"/>
      <c r="T7" s="27"/>
      <c r="U7" s="27"/>
      <c r="V7" s="27"/>
      <c r="W7" s="27"/>
      <c r="X7" s="27"/>
      <c r="Y7" s="27"/>
      <c r="Z7" s="27"/>
      <c r="AA7" s="27"/>
    </row>
    <row r="8" spans="1:27" x14ac:dyDescent="0.35">
      <c r="A8" s="27"/>
      <c r="B8" s="27"/>
      <c r="C8" s="27"/>
      <c r="D8" s="27"/>
      <c r="E8" s="27"/>
      <c r="F8" s="27"/>
      <c r="G8" s="27"/>
      <c r="H8" s="27"/>
      <c r="I8" s="27"/>
      <c r="J8" s="27"/>
      <c r="K8" s="27"/>
      <c r="L8" s="27"/>
      <c r="M8" s="27"/>
      <c r="N8" s="27"/>
      <c r="O8" s="27"/>
      <c r="P8" s="27"/>
      <c r="Q8" s="27"/>
      <c r="R8" s="27"/>
      <c r="S8" s="27"/>
      <c r="T8" s="27"/>
      <c r="U8" s="27"/>
      <c r="V8" s="27"/>
      <c r="W8" s="27"/>
      <c r="X8" s="27"/>
      <c r="Y8" s="27"/>
      <c r="Z8" s="27"/>
      <c r="AA8" s="27"/>
    </row>
    <row r="9" spans="1:27" x14ac:dyDescent="0.35">
      <c r="A9" s="27"/>
      <c r="B9" s="27"/>
      <c r="C9" s="27"/>
      <c r="D9" s="27"/>
      <c r="E9" s="27"/>
      <c r="F9" s="27"/>
      <c r="G9" s="27"/>
      <c r="H9" s="27"/>
      <c r="I9" s="27"/>
      <c r="J9" s="27"/>
      <c r="K9" s="27"/>
      <c r="L9" s="27"/>
      <c r="M9" s="27"/>
      <c r="N9" s="27"/>
      <c r="O9" s="27"/>
      <c r="P9" s="27"/>
      <c r="Q9" s="27"/>
      <c r="R9" s="27"/>
      <c r="S9" s="27"/>
      <c r="T9" s="27"/>
      <c r="U9" s="27"/>
      <c r="V9" s="27"/>
      <c r="W9" s="27"/>
      <c r="X9" s="27"/>
      <c r="Y9" s="27"/>
      <c r="Z9" s="27"/>
      <c r="AA9" s="27"/>
    </row>
    <row r="10" spans="1:27" x14ac:dyDescent="0.3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row>
    <row r="11" spans="1:27" x14ac:dyDescent="0.3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row>
    <row r="12" spans="1:27" x14ac:dyDescent="0.3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row>
    <row r="13" spans="1:27" x14ac:dyDescent="0.3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row>
    <row r="14" spans="1:27" x14ac:dyDescent="0.3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spans="1:27" x14ac:dyDescent="0.3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spans="1:27" x14ac:dyDescent="0.3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spans="1:27" x14ac:dyDescent="0.3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spans="1:27" x14ac:dyDescent="0.3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spans="1:27" x14ac:dyDescent="0.3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spans="1:27" x14ac:dyDescent="0.35">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spans="1:27" x14ac:dyDescent="0.3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spans="1:27" x14ac:dyDescent="0.3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spans="1:27" x14ac:dyDescent="0.3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spans="1:27" x14ac:dyDescent="0.3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spans="1:27" x14ac:dyDescent="0.3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spans="1:27" x14ac:dyDescent="0.35">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spans="1:27" x14ac:dyDescent="0.3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spans="1:27" x14ac:dyDescent="0.3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spans="1:27" x14ac:dyDescent="0.3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F1" zoomScale="80" zoomScaleNormal="70" workbookViewId="0">
      <selection activeCell="T14" sqref="T14"/>
    </sheetView>
  </sheetViews>
  <sheetFormatPr defaultColWidth="14.453125" defaultRowHeight="15" customHeight="1" x14ac:dyDescent="0.35"/>
  <cols>
    <col min="1" max="1" width="14.08984375" bestFit="1" customWidth="1"/>
    <col min="2" max="2" width="10.36328125" bestFit="1" customWidth="1"/>
    <col min="3" max="3" width="12" bestFit="1" customWidth="1"/>
    <col min="4" max="4" width="22.6328125" bestFit="1" customWidth="1"/>
    <col min="5" max="5" width="10.7265625" bestFit="1" customWidth="1"/>
    <col min="6" max="6" width="14.1796875" bestFit="1" customWidth="1"/>
    <col min="7" max="7" width="9.90625" bestFit="1" customWidth="1"/>
    <col min="8" max="8" width="8.6328125" bestFit="1" customWidth="1"/>
    <col min="9" max="9" width="9.90625" bestFit="1" customWidth="1"/>
    <col min="10" max="10" width="16.90625" bestFit="1" customWidth="1"/>
    <col min="11" max="11" width="6.90625" bestFit="1" customWidth="1"/>
    <col min="12" max="12" width="18.1796875" bestFit="1" customWidth="1"/>
    <col min="13" max="13" width="14.90625" customWidth="1"/>
    <col min="14" max="14" width="13.6328125" bestFit="1" customWidth="1"/>
    <col min="15" max="15" width="17.7265625" bestFit="1" customWidth="1"/>
    <col min="16" max="16" width="30.54296875" bestFit="1" customWidth="1"/>
    <col min="17" max="19" width="15.36328125" bestFit="1" customWidth="1"/>
    <col min="20" max="21" width="15.54296875" bestFit="1" customWidth="1"/>
    <col min="22" max="22" width="13.81640625" bestFit="1" customWidth="1"/>
    <col min="23" max="23" width="14.54296875" bestFit="1" customWidth="1"/>
    <col min="24" max="24" width="11.54296875" customWidth="1"/>
    <col min="25" max="25" width="8.6328125" customWidth="1"/>
    <col min="26" max="26" width="16.08984375" customWidth="1"/>
  </cols>
  <sheetData>
    <row r="1" spans="1:25" ht="16.75" customHeight="1" thickBot="1" x14ac:dyDescent="0.4">
      <c r="A1" s="16" t="s">
        <v>1</v>
      </c>
      <c r="B1" s="16" t="s">
        <v>2</v>
      </c>
      <c r="C1" s="16" t="s">
        <v>3</v>
      </c>
      <c r="D1" s="16" t="s">
        <v>4</v>
      </c>
      <c r="E1" s="16" t="s">
        <v>5</v>
      </c>
      <c r="F1" s="16" t="s">
        <v>6</v>
      </c>
      <c r="G1" s="16" t="s">
        <v>7</v>
      </c>
      <c r="H1" s="16" t="s">
        <v>8</v>
      </c>
      <c r="I1" s="16" t="s">
        <v>9</v>
      </c>
      <c r="J1" s="16" t="s">
        <v>10</v>
      </c>
      <c r="K1" s="16" t="s">
        <v>11</v>
      </c>
      <c r="L1" s="16" t="s">
        <v>12</v>
      </c>
      <c r="M1" s="16" t="s">
        <v>13</v>
      </c>
      <c r="N1" s="3" t="s">
        <v>14</v>
      </c>
      <c r="O1" s="22" t="s">
        <v>125</v>
      </c>
      <c r="P1" s="23" t="s">
        <v>461</v>
      </c>
      <c r="Q1" s="33" t="s">
        <v>467</v>
      </c>
      <c r="R1" s="32"/>
      <c r="S1" s="3"/>
      <c r="T1" s="32" t="s">
        <v>91</v>
      </c>
      <c r="U1" s="32"/>
      <c r="V1" s="3"/>
      <c r="W1" s="3"/>
      <c r="X1" s="25" t="s">
        <v>466</v>
      </c>
      <c r="Y1" s="3"/>
    </row>
    <row r="2" spans="1:25" thickBot="1" x14ac:dyDescent="0.4">
      <c r="A2" s="17" t="s">
        <v>15</v>
      </c>
      <c r="B2" s="18">
        <v>45393</v>
      </c>
      <c r="C2" s="17" t="s">
        <v>16</v>
      </c>
      <c r="D2" s="17" t="s">
        <v>17</v>
      </c>
      <c r="E2" s="17" t="s">
        <v>18</v>
      </c>
      <c r="F2" s="17" t="s">
        <v>19</v>
      </c>
      <c r="G2" s="17" t="s">
        <v>20</v>
      </c>
      <c r="H2" s="19">
        <v>3</v>
      </c>
      <c r="I2" s="19">
        <v>249.99</v>
      </c>
      <c r="J2" s="17" t="s">
        <v>21</v>
      </c>
      <c r="K2" s="17" t="s">
        <v>22</v>
      </c>
      <c r="L2" s="17" t="s">
        <v>23</v>
      </c>
      <c r="M2" s="18">
        <v>44425</v>
      </c>
      <c r="N2" s="4">
        <v>749.97</v>
      </c>
      <c r="O2" s="9">
        <f>COUNTIF($F:$F,F2)</f>
        <v>26</v>
      </c>
      <c r="P2" s="20" t="str">
        <f>INDEX(F:F,MATCH(MAX(O:O),O:O,0))</f>
        <v>Bookshelf</v>
      </c>
      <c r="Q2" s="13" t="s">
        <v>96</v>
      </c>
      <c r="R2" s="13">
        <v>200</v>
      </c>
      <c r="T2" s="9" t="s">
        <v>92</v>
      </c>
      <c r="U2" s="10">
        <f ca="1">TODAY()</f>
        <v>46078</v>
      </c>
      <c r="X2" s="9" t="str">
        <f>UPPER(LEFT(D2,1)&amp;MID(D2,FIND(" ",D2)+1,1))</f>
        <v>PB</v>
      </c>
    </row>
    <row r="3" spans="1:25" thickBot="1" x14ac:dyDescent="0.4">
      <c r="A3" s="17" t="s">
        <v>24</v>
      </c>
      <c r="B3" s="18">
        <v>45396</v>
      </c>
      <c r="C3" s="17" t="s">
        <v>25</v>
      </c>
      <c r="D3" s="17" t="s">
        <v>26</v>
      </c>
      <c r="E3" s="17" t="s">
        <v>18</v>
      </c>
      <c r="F3" s="17" t="s">
        <v>19</v>
      </c>
      <c r="G3" s="17" t="s">
        <v>20</v>
      </c>
      <c r="H3" s="19">
        <v>3</v>
      </c>
      <c r="I3" s="19">
        <v>249.99</v>
      </c>
      <c r="J3" s="17" t="s">
        <v>27</v>
      </c>
      <c r="K3" s="17" t="s">
        <v>22</v>
      </c>
      <c r="L3" s="17" t="s">
        <v>28</v>
      </c>
      <c r="M3" s="18">
        <v>44575</v>
      </c>
      <c r="N3" s="4">
        <v>749.97</v>
      </c>
      <c r="O3" s="9">
        <f t="shared" ref="O3:O66" si="0">COUNTIF($F:$F,F3)</f>
        <v>26</v>
      </c>
      <c r="Q3" s="13" t="s">
        <v>97</v>
      </c>
      <c r="R3" s="13">
        <v>500</v>
      </c>
      <c r="T3" s="9" t="s">
        <v>93</v>
      </c>
      <c r="U3" s="11">
        <f ca="1">NOW()</f>
        <v>46078.606410995373</v>
      </c>
      <c r="X3" s="9" t="str">
        <f>UPPER(LEFT(D3,1)&amp;MID(D3,FIND(" ",D3)+1,1))</f>
        <v>JJ</v>
      </c>
    </row>
    <row r="4" spans="1:25" thickBot="1" x14ac:dyDescent="0.4">
      <c r="A4" s="17" t="s">
        <v>29</v>
      </c>
      <c r="B4" s="18">
        <v>45399</v>
      </c>
      <c r="C4" s="17" t="s">
        <v>30</v>
      </c>
      <c r="D4" s="17" t="s">
        <v>31</v>
      </c>
      <c r="E4" s="17" t="s">
        <v>32</v>
      </c>
      <c r="F4" s="17" t="s">
        <v>33</v>
      </c>
      <c r="G4" s="17" t="s">
        <v>34</v>
      </c>
      <c r="H4" s="19">
        <v>3</v>
      </c>
      <c r="I4" s="19">
        <v>59.99</v>
      </c>
      <c r="J4" s="17" t="s">
        <v>35</v>
      </c>
      <c r="K4" s="17" t="s">
        <v>36</v>
      </c>
      <c r="L4" s="17" t="s">
        <v>37</v>
      </c>
      <c r="M4" s="18">
        <v>45262</v>
      </c>
      <c r="N4" s="4">
        <v>179.97</v>
      </c>
      <c r="O4" s="9">
        <f t="shared" si="0"/>
        <v>29</v>
      </c>
      <c r="Q4" s="13" t="s">
        <v>98</v>
      </c>
      <c r="R4" s="13">
        <f>R2*R3</f>
        <v>100000</v>
      </c>
      <c r="T4" s="9" t="s">
        <v>94</v>
      </c>
      <c r="U4" s="10">
        <f ca="1">EOMONTH(U3,5)</f>
        <v>46234</v>
      </c>
      <c r="X4" s="9" t="str">
        <f>UPPER(LEFT(D4,1)&amp;MID(D4,FIND(" ",D4)+1,1))</f>
        <v>KS</v>
      </c>
    </row>
    <row r="5" spans="1:25" thickBot="1" x14ac:dyDescent="0.4">
      <c r="A5" s="17" t="s">
        <v>38</v>
      </c>
      <c r="B5" s="18">
        <v>45400</v>
      </c>
      <c r="C5" s="17" t="s">
        <v>39</v>
      </c>
      <c r="D5" s="17" t="s">
        <v>40</v>
      </c>
      <c r="E5" s="17" t="s">
        <v>32</v>
      </c>
      <c r="F5" s="17" t="s">
        <v>33</v>
      </c>
      <c r="G5" s="17" t="s">
        <v>34</v>
      </c>
      <c r="H5" s="19">
        <v>3</v>
      </c>
      <c r="I5" s="19">
        <v>59.99</v>
      </c>
      <c r="J5" s="17" t="s">
        <v>21</v>
      </c>
      <c r="K5" s="17" t="s">
        <v>41</v>
      </c>
      <c r="L5" s="17" t="s">
        <v>28</v>
      </c>
      <c r="M5" s="18">
        <v>45114</v>
      </c>
      <c r="N5" s="4">
        <v>179.97</v>
      </c>
      <c r="O5" s="9">
        <f t="shared" si="0"/>
        <v>29</v>
      </c>
      <c r="X5" s="9" t="str">
        <f>UPPER(LEFT(D5,1)&amp;MID(D5,FIND(" ",D5)+1,1))</f>
        <v>KB</v>
      </c>
    </row>
    <row r="6" spans="1:25" thickBot="1" x14ac:dyDescent="0.4">
      <c r="A6" s="17" t="s">
        <v>42</v>
      </c>
      <c r="B6" s="18">
        <v>45400</v>
      </c>
      <c r="C6" s="17" t="s">
        <v>43</v>
      </c>
      <c r="D6" s="17" t="s">
        <v>44</v>
      </c>
      <c r="E6" s="17" t="s">
        <v>45</v>
      </c>
      <c r="F6" s="17" t="s">
        <v>46</v>
      </c>
      <c r="G6" s="17" t="s">
        <v>47</v>
      </c>
      <c r="H6" s="19">
        <v>5</v>
      </c>
      <c r="I6" s="19">
        <v>149.99</v>
      </c>
      <c r="J6" s="17" t="s">
        <v>27</v>
      </c>
      <c r="K6" s="17" t="s">
        <v>41</v>
      </c>
      <c r="L6" s="17" t="s">
        <v>28</v>
      </c>
      <c r="M6" s="18">
        <v>45295</v>
      </c>
      <c r="N6" s="4">
        <v>749.95</v>
      </c>
      <c r="O6" s="9">
        <f t="shared" si="0"/>
        <v>35</v>
      </c>
      <c r="Q6" s="33" t="s">
        <v>468</v>
      </c>
      <c r="R6" s="33"/>
      <c r="X6" s="9" t="str">
        <f>UPPER(LEFT(D6,1)&amp;MID(D6,FIND(" ",D6)+1,1))</f>
        <v>MB</v>
      </c>
    </row>
    <row r="7" spans="1:25" thickBot="1" x14ac:dyDescent="0.4">
      <c r="A7" s="17" t="s">
        <v>48</v>
      </c>
      <c r="B7" s="18">
        <v>45403</v>
      </c>
      <c r="C7" s="17" t="s">
        <v>49</v>
      </c>
      <c r="D7" s="17" t="s">
        <v>50</v>
      </c>
      <c r="E7" s="17" t="s">
        <v>32</v>
      </c>
      <c r="F7" s="17" t="s">
        <v>33</v>
      </c>
      <c r="G7" s="17" t="s">
        <v>34</v>
      </c>
      <c r="H7" s="19">
        <v>2</v>
      </c>
      <c r="I7" s="19">
        <v>59.99</v>
      </c>
      <c r="J7" s="17" t="s">
        <v>21</v>
      </c>
      <c r="K7" s="17" t="s">
        <v>51</v>
      </c>
      <c r="L7" s="17" t="s">
        <v>37</v>
      </c>
      <c r="M7" s="18">
        <v>44746</v>
      </c>
      <c r="N7" s="4">
        <v>119.98</v>
      </c>
      <c r="O7" s="9">
        <f t="shared" si="0"/>
        <v>29</v>
      </c>
      <c r="Q7" s="13" t="s">
        <v>96</v>
      </c>
      <c r="R7" s="9">
        <v>200</v>
      </c>
      <c r="X7" s="9" t="str">
        <f>UPPER(LEFT(D7,1)&amp;MID(D7,FIND(" ",D7)+1,1))</f>
        <v>DN</v>
      </c>
    </row>
    <row r="8" spans="1:25" thickBot="1" x14ac:dyDescent="0.4">
      <c r="A8" s="17" t="s">
        <v>52</v>
      </c>
      <c r="B8" s="18">
        <v>45403</v>
      </c>
      <c r="C8" s="17" t="s">
        <v>49</v>
      </c>
      <c r="D8" s="17" t="s">
        <v>50</v>
      </c>
      <c r="E8" s="17" t="s">
        <v>53</v>
      </c>
      <c r="F8" s="17" t="s">
        <v>54</v>
      </c>
      <c r="G8" s="17" t="s">
        <v>20</v>
      </c>
      <c r="H8" s="19">
        <v>5</v>
      </c>
      <c r="I8" s="19">
        <v>149.99</v>
      </c>
      <c r="J8" s="17" t="s">
        <v>27</v>
      </c>
      <c r="K8" s="17" t="s">
        <v>22</v>
      </c>
      <c r="L8" s="17" t="s">
        <v>37</v>
      </c>
      <c r="M8" s="18">
        <v>44418</v>
      </c>
      <c r="N8" s="4">
        <v>749.95</v>
      </c>
      <c r="O8" s="9">
        <f t="shared" si="0"/>
        <v>16</v>
      </c>
      <c r="Q8" s="13" t="s">
        <v>97</v>
      </c>
      <c r="R8" s="9">
        <v>500</v>
      </c>
      <c r="T8" s="26" t="s">
        <v>95</v>
      </c>
      <c r="V8" s="24" t="s">
        <v>472</v>
      </c>
      <c r="W8" s="25" t="s">
        <v>473</v>
      </c>
      <c r="X8" s="9" t="str">
        <f>UPPER(LEFT(D8,1)&amp;MID(D8,FIND(" ",D8)+1,1))</f>
        <v>DN</v>
      </c>
    </row>
    <row r="9" spans="1:25" ht="15" customHeight="1" thickBot="1" x14ac:dyDescent="0.4">
      <c r="A9" s="17" t="s">
        <v>55</v>
      </c>
      <c r="B9" s="18">
        <v>45403</v>
      </c>
      <c r="C9" s="17" t="s">
        <v>56</v>
      </c>
      <c r="D9" s="17" t="s">
        <v>57</v>
      </c>
      <c r="E9" s="17" t="s">
        <v>32</v>
      </c>
      <c r="F9" s="17" t="s">
        <v>33</v>
      </c>
      <c r="G9" s="17" t="s">
        <v>34</v>
      </c>
      <c r="H9" s="19">
        <v>3</v>
      </c>
      <c r="I9" s="19">
        <v>59.99</v>
      </c>
      <c r="J9" s="17" t="s">
        <v>58</v>
      </c>
      <c r="K9" s="17" t="s">
        <v>36</v>
      </c>
      <c r="L9" s="17" t="s">
        <v>23</v>
      </c>
      <c r="M9" s="18">
        <v>45007</v>
      </c>
      <c r="N9" s="4">
        <v>179.97</v>
      </c>
      <c r="O9" s="9">
        <f t="shared" si="0"/>
        <v>29</v>
      </c>
      <c r="Q9" s="13" t="s">
        <v>98</v>
      </c>
      <c r="R9" s="9">
        <f>R7*R8</f>
        <v>100000</v>
      </c>
      <c r="T9" s="12">
        <f ca="1">NOW()</f>
        <v>46078.60641064815</v>
      </c>
      <c r="V9" s="9">
        <f>SUM(H2:H251)</f>
        <v>753</v>
      </c>
      <c r="W9" s="9">
        <f>SUM(I2:I251)</f>
        <v>74167.500000000015</v>
      </c>
      <c r="X9" s="9" t="str">
        <f>UPPER(LEFT(D9,1)&amp;MID(D9,FIND(" ",D9)+1,1))</f>
        <v>CA</v>
      </c>
    </row>
    <row r="10" spans="1:25" ht="13.75" customHeight="1" thickBot="1" x14ac:dyDescent="0.4">
      <c r="A10" s="17" t="s">
        <v>59</v>
      </c>
      <c r="B10" s="18">
        <v>45405</v>
      </c>
      <c r="C10" s="17" t="s">
        <v>60</v>
      </c>
      <c r="D10" s="17" t="s">
        <v>61</v>
      </c>
      <c r="E10" s="17" t="s">
        <v>62</v>
      </c>
      <c r="F10" s="17" t="s">
        <v>63</v>
      </c>
      <c r="G10" s="17" t="s">
        <v>20</v>
      </c>
      <c r="H10" s="19">
        <v>3</v>
      </c>
      <c r="I10" s="19">
        <v>899.99</v>
      </c>
      <c r="J10" s="17" t="s">
        <v>35</v>
      </c>
      <c r="K10" s="17" t="s">
        <v>64</v>
      </c>
      <c r="L10" s="17" t="s">
        <v>37</v>
      </c>
      <c r="M10" s="18">
        <v>45299</v>
      </c>
      <c r="N10" s="4">
        <v>2699.97</v>
      </c>
      <c r="O10" s="9">
        <f t="shared" si="0"/>
        <v>24</v>
      </c>
      <c r="X10" s="9" t="str">
        <f>UPPER(LEFT(D10,1)&amp;MID(D10,FIND(" ",D10)+1,1))</f>
        <v>RT</v>
      </c>
    </row>
    <row r="11" spans="1:25" thickBot="1" x14ac:dyDescent="0.4">
      <c r="A11" s="17" t="s">
        <v>126</v>
      </c>
      <c r="B11" s="18">
        <v>45408</v>
      </c>
      <c r="C11" s="17" t="s">
        <v>127</v>
      </c>
      <c r="D11" s="17" t="s">
        <v>128</v>
      </c>
      <c r="E11" s="17" t="s">
        <v>32</v>
      </c>
      <c r="F11" s="17" t="s">
        <v>33</v>
      </c>
      <c r="G11" s="17" t="s">
        <v>34</v>
      </c>
      <c r="H11" s="19">
        <v>3</v>
      </c>
      <c r="I11" s="19">
        <v>59.99</v>
      </c>
      <c r="J11" s="17" t="s">
        <v>21</v>
      </c>
      <c r="K11" s="17" t="s">
        <v>51</v>
      </c>
      <c r="L11" s="17" t="s">
        <v>28</v>
      </c>
      <c r="M11" s="18">
        <v>45207</v>
      </c>
      <c r="N11" s="4">
        <v>179.97</v>
      </c>
      <c r="O11" s="9">
        <f t="shared" si="0"/>
        <v>29</v>
      </c>
      <c r="X11" s="9" t="str">
        <f>UPPER(LEFT(D11,1)&amp;MID(D11,FIND(" ",D11)+1,1))</f>
        <v>KH</v>
      </c>
    </row>
    <row r="12" spans="1:25" thickBot="1" x14ac:dyDescent="0.4">
      <c r="A12" s="17" t="s">
        <v>129</v>
      </c>
      <c r="B12" s="18">
        <v>45408</v>
      </c>
      <c r="C12" s="17" t="s">
        <v>130</v>
      </c>
      <c r="D12" s="17" t="s">
        <v>131</v>
      </c>
      <c r="E12" s="17" t="s">
        <v>45</v>
      </c>
      <c r="F12" s="17" t="s">
        <v>46</v>
      </c>
      <c r="G12" s="17" t="s">
        <v>47</v>
      </c>
      <c r="H12" s="19">
        <v>1</v>
      </c>
      <c r="I12" s="19">
        <v>149.99</v>
      </c>
      <c r="J12" s="17" t="s">
        <v>27</v>
      </c>
      <c r="K12" s="17" t="s">
        <v>51</v>
      </c>
      <c r="L12" s="17" t="s">
        <v>37</v>
      </c>
      <c r="M12" s="18">
        <v>45103</v>
      </c>
      <c r="N12" s="4">
        <v>149.99</v>
      </c>
      <c r="O12" s="9">
        <f t="shared" si="0"/>
        <v>35</v>
      </c>
      <c r="R12" s="25" t="s">
        <v>474</v>
      </c>
      <c r="X12" s="9" t="str">
        <f>UPPER(LEFT(D12,1)&amp;MID(D12,FIND(" ",D12)+1,1))</f>
        <v>SG</v>
      </c>
    </row>
    <row r="13" spans="1:25" thickBot="1" x14ac:dyDescent="0.4">
      <c r="A13" s="17" t="s">
        <v>132</v>
      </c>
      <c r="B13" s="18">
        <v>45408</v>
      </c>
      <c r="C13" s="17" t="s">
        <v>39</v>
      </c>
      <c r="D13" s="17" t="s">
        <v>40</v>
      </c>
      <c r="E13" s="17" t="s">
        <v>45</v>
      </c>
      <c r="F13" s="17" t="s">
        <v>46</v>
      </c>
      <c r="G13" s="17" t="s">
        <v>47</v>
      </c>
      <c r="H13" s="19">
        <v>5</v>
      </c>
      <c r="I13" s="19">
        <v>149.99</v>
      </c>
      <c r="J13" s="17" t="s">
        <v>58</v>
      </c>
      <c r="K13" s="17" t="s">
        <v>41</v>
      </c>
      <c r="L13" s="17" t="s">
        <v>23</v>
      </c>
      <c r="M13" s="18">
        <v>44830</v>
      </c>
      <c r="N13" s="4">
        <v>749.95</v>
      </c>
      <c r="O13" s="9">
        <f t="shared" si="0"/>
        <v>35</v>
      </c>
      <c r="R13" s="9">
        <f>SUM(N2:N251)</f>
        <v>229192.47000000032</v>
      </c>
      <c r="X13" s="9" t="str">
        <f>UPPER(LEFT(D13,1)&amp;MID(D13,FIND(" ",D13)+1,1))</f>
        <v>KB</v>
      </c>
    </row>
    <row r="14" spans="1:25" thickBot="1" x14ac:dyDescent="0.4">
      <c r="A14" s="17" t="s">
        <v>133</v>
      </c>
      <c r="B14" s="18">
        <v>45408</v>
      </c>
      <c r="C14" s="17" t="s">
        <v>134</v>
      </c>
      <c r="D14" s="17" t="s">
        <v>135</v>
      </c>
      <c r="E14" s="17" t="s">
        <v>45</v>
      </c>
      <c r="F14" s="17" t="s">
        <v>46</v>
      </c>
      <c r="G14" s="17" t="s">
        <v>47</v>
      </c>
      <c r="H14" s="19">
        <v>3</v>
      </c>
      <c r="I14" s="19">
        <v>149.99</v>
      </c>
      <c r="J14" s="17" t="s">
        <v>21</v>
      </c>
      <c r="K14" s="17" t="s">
        <v>41</v>
      </c>
      <c r="L14" s="17" t="s">
        <v>28</v>
      </c>
      <c r="M14" s="18">
        <v>44806</v>
      </c>
      <c r="N14" s="4">
        <v>449.97</v>
      </c>
      <c r="O14" s="9">
        <f t="shared" si="0"/>
        <v>35</v>
      </c>
      <c r="X14" s="9" t="str">
        <f>UPPER(LEFT(D14,1)&amp;MID(D14,FIND(" ",D14)+1,1))</f>
        <v>PR</v>
      </c>
    </row>
    <row r="15" spans="1:25" thickBot="1" x14ac:dyDescent="0.4">
      <c r="A15" s="17" t="s">
        <v>136</v>
      </c>
      <c r="B15" s="18">
        <v>45409</v>
      </c>
      <c r="C15" s="17" t="s">
        <v>137</v>
      </c>
      <c r="D15" s="17" t="s">
        <v>138</v>
      </c>
      <c r="E15" s="17" t="s">
        <v>32</v>
      </c>
      <c r="F15" s="17" t="s">
        <v>33</v>
      </c>
      <c r="G15" s="17" t="s">
        <v>34</v>
      </c>
      <c r="H15" s="19">
        <v>3</v>
      </c>
      <c r="I15" s="19">
        <v>59.99</v>
      </c>
      <c r="J15" s="17" t="s">
        <v>27</v>
      </c>
      <c r="K15" s="17" t="s">
        <v>41</v>
      </c>
      <c r="L15" s="17" t="s">
        <v>37</v>
      </c>
      <c r="M15" s="18">
        <v>45351</v>
      </c>
      <c r="N15" s="4">
        <v>179.97</v>
      </c>
      <c r="O15" s="9">
        <f t="shared" si="0"/>
        <v>29</v>
      </c>
      <c r="X15" s="9" t="str">
        <f>UPPER(LEFT(D15,1)&amp;MID(D15,FIND(" ",D15)+1,1))</f>
        <v>DG</v>
      </c>
    </row>
    <row r="16" spans="1:25" thickBot="1" x14ac:dyDescent="0.4">
      <c r="A16" s="17" t="s">
        <v>139</v>
      </c>
      <c r="B16" s="18">
        <v>45409</v>
      </c>
      <c r="C16" s="17" t="s">
        <v>140</v>
      </c>
      <c r="D16" s="17" t="s">
        <v>141</v>
      </c>
      <c r="E16" s="17" t="s">
        <v>142</v>
      </c>
      <c r="F16" s="17" t="s">
        <v>143</v>
      </c>
      <c r="G16" s="17" t="s">
        <v>20</v>
      </c>
      <c r="H16" s="19">
        <v>3</v>
      </c>
      <c r="I16" s="19">
        <v>699.99</v>
      </c>
      <c r="J16" s="17" t="s">
        <v>27</v>
      </c>
      <c r="K16" s="17" t="s">
        <v>51</v>
      </c>
      <c r="L16" s="17" t="s">
        <v>23</v>
      </c>
      <c r="M16" s="18">
        <v>44577</v>
      </c>
      <c r="N16" s="4">
        <v>2099.9699999999998</v>
      </c>
      <c r="O16" s="9">
        <f t="shared" si="0"/>
        <v>31</v>
      </c>
      <c r="X16" s="9" t="str">
        <f>UPPER(LEFT(D16,1)&amp;MID(D16,FIND(" ",D16)+1,1))</f>
        <v>MR</v>
      </c>
    </row>
    <row r="17" spans="1:24" thickBot="1" x14ac:dyDescent="0.4">
      <c r="A17" s="17" t="s">
        <v>144</v>
      </c>
      <c r="B17" s="18">
        <v>45409</v>
      </c>
      <c r="C17" s="17" t="s">
        <v>145</v>
      </c>
      <c r="D17" s="17" t="s">
        <v>146</v>
      </c>
      <c r="E17" s="17" t="s">
        <v>62</v>
      </c>
      <c r="F17" s="17" t="s">
        <v>63</v>
      </c>
      <c r="G17" s="17" t="s">
        <v>20</v>
      </c>
      <c r="H17" s="19">
        <v>1</v>
      </c>
      <c r="I17" s="19">
        <v>899.99</v>
      </c>
      <c r="J17" s="17" t="s">
        <v>58</v>
      </c>
      <c r="K17" s="17" t="s">
        <v>41</v>
      </c>
      <c r="L17" s="17" t="s">
        <v>37</v>
      </c>
      <c r="M17" s="18">
        <v>44920</v>
      </c>
      <c r="N17" s="4">
        <v>899.99</v>
      </c>
      <c r="O17" s="9">
        <f t="shared" si="0"/>
        <v>24</v>
      </c>
      <c r="X17" s="9" t="str">
        <f>UPPER(LEFT(D17,1)&amp;MID(D17,FIND(" ",D17)+1,1))</f>
        <v>GA</v>
      </c>
    </row>
    <row r="18" spans="1:24" thickBot="1" x14ac:dyDescent="0.4">
      <c r="A18" s="17" t="s">
        <v>147</v>
      </c>
      <c r="B18" s="18">
        <v>45410</v>
      </c>
      <c r="C18" s="17" t="s">
        <v>148</v>
      </c>
      <c r="D18" s="17" t="s">
        <v>149</v>
      </c>
      <c r="E18" s="17" t="s">
        <v>45</v>
      </c>
      <c r="F18" s="17" t="s">
        <v>46</v>
      </c>
      <c r="G18" s="17" t="s">
        <v>47</v>
      </c>
      <c r="H18" s="19">
        <v>4</v>
      </c>
      <c r="I18" s="19">
        <v>149.99</v>
      </c>
      <c r="J18" s="17" t="s">
        <v>58</v>
      </c>
      <c r="K18" s="17" t="s">
        <v>41</v>
      </c>
      <c r="L18" s="17" t="s">
        <v>28</v>
      </c>
      <c r="M18" s="18">
        <v>45374</v>
      </c>
      <c r="N18" s="4">
        <v>599.96</v>
      </c>
      <c r="O18" s="9">
        <f t="shared" si="0"/>
        <v>35</v>
      </c>
      <c r="X18" s="9" t="str">
        <f>UPPER(LEFT(D18,1)&amp;MID(D18,FIND(" ",D18)+1,1))</f>
        <v>MC</v>
      </c>
    </row>
    <row r="19" spans="1:24" thickBot="1" x14ac:dyDescent="0.4">
      <c r="A19" s="17" t="s">
        <v>150</v>
      </c>
      <c r="B19" s="18">
        <v>45410</v>
      </c>
      <c r="C19" s="17" t="s">
        <v>151</v>
      </c>
      <c r="D19" s="17" t="s">
        <v>152</v>
      </c>
      <c r="E19" s="17" t="s">
        <v>142</v>
      </c>
      <c r="F19" s="17" t="s">
        <v>143</v>
      </c>
      <c r="G19" s="17" t="s">
        <v>20</v>
      </c>
      <c r="H19" s="19">
        <v>2</v>
      </c>
      <c r="I19" s="19">
        <v>699.99</v>
      </c>
      <c r="J19" s="17" t="s">
        <v>21</v>
      </c>
      <c r="K19" s="17" t="s">
        <v>41</v>
      </c>
      <c r="L19" s="17" t="s">
        <v>23</v>
      </c>
      <c r="M19" s="18">
        <v>44781</v>
      </c>
      <c r="N19" s="4">
        <v>1399.98</v>
      </c>
      <c r="O19" s="9">
        <f t="shared" si="0"/>
        <v>31</v>
      </c>
      <c r="Q19" s="25" t="s">
        <v>462</v>
      </c>
      <c r="R19" s="25" t="s">
        <v>464</v>
      </c>
      <c r="S19" s="25" t="s">
        <v>465</v>
      </c>
      <c r="X19" s="9" t="str">
        <f>UPPER(LEFT(D19,1)&amp;MID(D19,FIND(" ",D19)+1,1))</f>
        <v>MG</v>
      </c>
    </row>
    <row r="20" spans="1:24" thickBot="1" x14ac:dyDescent="0.4">
      <c r="A20" s="17" t="s">
        <v>153</v>
      </c>
      <c r="B20" s="18">
        <v>45410</v>
      </c>
      <c r="C20" s="17" t="s">
        <v>148</v>
      </c>
      <c r="D20" s="17" t="s">
        <v>149</v>
      </c>
      <c r="E20" s="17" t="s">
        <v>62</v>
      </c>
      <c r="F20" s="17" t="s">
        <v>63</v>
      </c>
      <c r="G20" s="17" t="s">
        <v>20</v>
      </c>
      <c r="H20" s="19">
        <v>4</v>
      </c>
      <c r="I20" s="19">
        <v>899.99</v>
      </c>
      <c r="J20" s="17" t="s">
        <v>27</v>
      </c>
      <c r="K20" s="17" t="s">
        <v>51</v>
      </c>
      <c r="L20" s="17" t="s">
        <v>37</v>
      </c>
      <c r="M20" s="18">
        <v>45327</v>
      </c>
      <c r="N20" s="4">
        <v>3599.96</v>
      </c>
      <c r="O20" s="9">
        <f t="shared" si="0"/>
        <v>24</v>
      </c>
      <c r="Q20" s="21" t="s">
        <v>192</v>
      </c>
      <c r="R20" s="21" t="s">
        <v>44</v>
      </c>
      <c r="S20" s="9" t="str">
        <f>IF(COUNTIF(Q20:Q36,R20)&gt;0,R20,"-")</f>
        <v>-</v>
      </c>
      <c r="X20" s="9" t="str">
        <f>UPPER(LEFT(D20,1)&amp;MID(D20,FIND(" ",D20)+1,1))</f>
        <v>MC</v>
      </c>
    </row>
    <row r="21" spans="1:24" ht="15.75" customHeight="1" thickBot="1" x14ac:dyDescent="0.4">
      <c r="A21" s="17" t="s">
        <v>154</v>
      </c>
      <c r="B21" s="18">
        <v>45410</v>
      </c>
      <c r="C21" s="17" t="s">
        <v>155</v>
      </c>
      <c r="D21" s="17" t="s">
        <v>156</v>
      </c>
      <c r="E21" s="17" t="s">
        <v>18</v>
      </c>
      <c r="F21" s="17" t="s">
        <v>19</v>
      </c>
      <c r="G21" s="17" t="s">
        <v>20</v>
      </c>
      <c r="H21" s="19">
        <v>3</v>
      </c>
      <c r="I21" s="19">
        <v>249.99</v>
      </c>
      <c r="J21" s="17" t="s">
        <v>27</v>
      </c>
      <c r="K21" s="17" t="s">
        <v>41</v>
      </c>
      <c r="L21" s="17" t="s">
        <v>28</v>
      </c>
      <c r="M21" s="18">
        <v>45224</v>
      </c>
      <c r="N21" s="4">
        <v>749.97</v>
      </c>
      <c r="O21" s="9">
        <f t="shared" si="0"/>
        <v>26</v>
      </c>
      <c r="Q21" s="21" t="s">
        <v>162</v>
      </c>
      <c r="R21" s="21" t="s">
        <v>50</v>
      </c>
      <c r="S21" s="9" t="str">
        <f t="shared" ref="S21:S36" si="1">IF(COUNTIF(Q21:Q37,R21)&gt;0,R21,"-")</f>
        <v>-</v>
      </c>
      <c r="X21" s="9" t="str">
        <f>UPPER(LEFT(D21,1)&amp;MID(D21,FIND(" ",D21)+1,1))</f>
        <v>VS</v>
      </c>
    </row>
    <row r="22" spans="1:24" ht="15.75" customHeight="1" thickBot="1" x14ac:dyDescent="0.4">
      <c r="A22" s="17" t="s">
        <v>157</v>
      </c>
      <c r="B22" s="18">
        <v>45412</v>
      </c>
      <c r="C22" s="17" t="s">
        <v>158</v>
      </c>
      <c r="D22" s="17" t="s">
        <v>159</v>
      </c>
      <c r="E22" s="17" t="s">
        <v>142</v>
      </c>
      <c r="F22" s="17" t="s">
        <v>143</v>
      </c>
      <c r="G22" s="17" t="s">
        <v>20</v>
      </c>
      <c r="H22" s="19">
        <v>5</v>
      </c>
      <c r="I22" s="19">
        <v>699.99</v>
      </c>
      <c r="J22" s="17" t="s">
        <v>21</v>
      </c>
      <c r="K22" s="17" t="s">
        <v>51</v>
      </c>
      <c r="L22" s="17" t="s">
        <v>23</v>
      </c>
      <c r="M22" s="18">
        <v>45167</v>
      </c>
      <c r="N22" s="4">
        <v>3499.95</v>
      </c>
      <c r="O22" s="9">
        <f t="shared" si="0"/>
        <v>31</v>
      </c>
      <c r="Q22" s="21" t="s">
        <v>17</v>
      </c>
      <c r="R22" s="21" t="s">
        <v>50</v>
      </c>
      <c r="S22" s="9" t="str">
        <f t="shared" si="1"/>
        <v>-</v>
      </c>
      <c r="X22" s="9" t="str">
        <f>UPPER(LEFT(D22,1)&amp;MID(D22,FIND(" ",D22)+1,1))</f>
        <v>BY</v>
      </c>
    </row>
    <row r="23" spans="1:24" ht="15.75" customHeight="1" thickBot="1" x14ac:dyDescent="0.4">
      <c r="A23" s="17" t="s">
        <v>160</v>
      </c>
      <c r="B23" s="18">
        <v>45413</v>
      </c>
      <c r="C23" s="17" t="s">
        <v>161</v>
      </c>
      <c r="D23" s="17" t="s">
        <v>162</v>
      </c>
      <c r="E23" s="17" t="s">
        <v>142</v>
      </c>
      <c r="F23" s="17" t="s">
        <v>143</v>
      </c>
      <c r="G23" s="17" t="s">
        <v>20</v>
      </c>
      <c r="H23" s="19">
        <v>4</v>
      </c>
      <c r="I23" s="19">
        <v>699.99</v>
      </c>
      <c r="J23" s="17" t="s">
        <v>21</v>
      </c>
      <c r="K23" s="17" t="s">
        <v>64</v>
      </c>
      <c r="L23" s="17" t="s">
        <v>37</v>
      </c>
      <c r="M23" s="18">
        <v>44409</v>
      </c>
      <c r="N23" s="4">
        <v>2799.96</v>
      </c>
      <c r="O23" s="9">
        <f t="shared" si="0"/>
        <v>31</v>
      </c>
      <c r="Q23" s="21" t="s">
        <v>186</v>
      </c>
      <c r="R23" s="21" t="s">
        <v>57</v>
      </c>
      <c r="S23" s="9" t="str">
        <f t="shared" si="1"/>
        <v>Charles Allen</v>
      </c>
      <c r="X23" s="9" t="str">
        <f>UPPER(LEFT(D23,1)&amp;MID(D23,FIND(" ",D23)+1,1))</f>
        <v>PM</v>
      </c>
    </row>
    <row r="24" spans="1:24" ht="15.75" customHeight="1" thickBot="1" x14ac:dyDescent="0.4">
      <c r="A24" s="17" t="s">
        <v>163</v>
      </c>
      <c r="B24" s="18">
        <v>45415</v>
      </c>
      <c r="C24" s="17" t="s">
        <v>164</v>
      </c>
      <c r="D24" s="17" t="s">
        <v>165</v>
      </c>
      <c r="E24" s="17" t="s">
        <v>18</v>
      </c>
      <c r="F24" s="17" t="s">
        <v>19</v>
      </c>
      <c r="G24" s="17" t="s">
        <v>20</v>
      </c>
      <c r="H24" s="19">
        <v>4</v>
      </c>
      <c r="I24" s="19">
        <v>249.99</v>
      </c>
      <c r="J24" s="17" t="s">
        <v>35</v>
      </c>
      <c r="K24" s="17" t="s">
        <v>41</v>
      </c>
      <c r="L24" s="17" t="s">
        <v>37</v>
      </c>
      <c r="M24" s="18">
        <v>44468</v>
      </c>
      <c r="N24" s="4">
        <v>999.96</v>
      </c>
      <c r="O24" s="9">
        <f t="shared" si="0"/>
        <v>26</v>
      </c>
      <c r="Q24" s="21" t="s">
        <v>221</v>
      </c>
      <c r="R24" s="21" t="s">
        <v>61</v>
      </c>
      <c r="S24" s="9" t="str">
        <f t="shared" si="1"/>
        <v>Robert Thomas</v>
      </c>
      <c r="X24" s="9" t="str">
        <f>UPPER(LEFT(D24,1)&amp;MID(D24,FIND(" ",D24)+1,1))</f>
        <v>CP</v>
      </c>
    </row>
    <row r="25" spans="1:24" ht="15.75" customHeight="1" thickBot="1" x14ac:dyDescent="0.4">
      <c r="A25" s="17" t="s">
        <v>166</v>
      </c>
      <c r="B25" s="18">
        <v>45416</v>
      </c>
      <c r="C25" s="17" t="s">
        <v>148</v>
      </c>
      <c r="D25" s="17" t="s">
        <v>149</v>
      </c>
      <c r="E25" s="17" t="s">
        <v>167</v>
      </c>
      <c r="F25" s="17" t="s">
        <v>168</v>
      </c>
      <c r="G25" s="17" t="s">
        <v>47</v>
      </c>
      <c r="H25" s="19">
        <v>4</v>
      </c>
      <c r="I25" s="19">
        <v>299.99</v>
      </c>
      <c r="J25" s="17" t="s">
        <v>21</v>
      </c>
      <c r="K25" s="17" t="s">
        <v>51</v>
      </c>
      <c r="L25" s="17" t="s">
        <v>28</v>
      </c>
      <c r="M25" s="18">
        <v>44716</v>
      </c>
      <c r="N25" s="4">
        <v>1199.96</v>
      </c>
      <c r="O25" s="9">
        <f t="shared" si="0"/>
        <v>26</v>
      </c>
      <c r="Q25" s="21" t="s">
        <v>204</v>
      </c>
      <c r="R25" s="21" t="s">
        <v>128</v>
      </c>
      <c r="S25" s="9" t="str">
        <f t="shared" si="1"/>
        <v>-</v>
      </c>
      <c r="X25" s="9" t="str">
        <f>UPPER(LEFT(D25,1)&amp;MID(D25,FIND(" ",D25)+1,1))</f>
        <v>MC</v>
      </c>
    </row>
    <row r="26" spans="1:24" ht="15.75" customHeight="1" thickBot="1" x14ac:dyDescent="0.4">
      <c r="A26" s="17" t="s">
        <v>169</v>
      </c>
      <c r="B26" s="18">
        <v>45422</v>
      </c>
      <c r="C26" s="17" t="s">
        <v>170</v>
      </c>
      <c r="D26" s="17" t="s">
        <v>171</v>
      </c>
      <c r="E26" s="17" t="s">
        <v>18</v>
      </c>
      <c r="F26" s="17" t="s">
        <v>19</v>
      </c>
      <c r="G26" s="17" t="s">
        <v>20</v>
      </c>
      <c r="H26" s="19">
        <v>5</v>
      </c>
      <c r="I26" s="19">
        <v>249.99</v>
      </c>
      <c r="J26" s="17" t="s">
        <v>27</v>
      </c>
      <c r="K26" s="17" t="s">
        <v>51</v>
      </c>
      <c r="L26" s="17" t="s">
        <v>37</v>
      </c>
      <c r="M26" s="18">
        <v>44525</v>
      </c>
      <c r="N26" s="4">
        <v>1249.95</v>
      </c>
      <c r="O26" s="9">
        <f t="shared" si="0"/>
        <v>26</v>
      </c>
      <c r="Q26" s="21" t="s">
        <v>234</v>
      </c>
      <c r="R26" s="21" t="s">
        <v>131</v>
      </c>
      <c r="S26" s="9" t="str">
        <f t="shared" si="1"/>
        <v>Susan Green</v>
      </c>
      <c r="X26" s="9" t="str">
        <f>UPPER(LEFT(D26,1)&amp;MID(D26,FIND(" ",D26)+1,1))</f>
        <v>NC</v>
      </c>
    </row>
    <row r="27" spans="1:24" ht="15.75" customHeight="1" thickBot="1" x14ac:dyDescent="0.4">
      <c r="A27" s="17" t="s">
        <v>172</v>
      </c>
      <c r="B27" s="18">
        <v>45424</v>
      </c>
      <c r="C27" s="17" t="s">
        <v>130</v>
      </c>
      <c r="D27" s="17" t="s">
        <v>131</v>
      </c>
      <c r="E27" s="17" t="s">
        <v>167</v>
      </c>
      <c r="F27" s="17" t="s">
        <v>168</v>
      </c>
      <c r="G27" s="17" t="s">
        <v>47</v>
      </c>
      <c r="H27" s="19">
        <v>5</v>
      </c>
      <c r="I27" s="19">
        <v>299.99</v>
      </c>
      <c r="J27" s="17" t="s">
        <v>35</v>
      </c>
      <c r="K27" s="17" t="s">
        <v>64</v>
      </c>
      <c r="L27" s="17" t="s">
        <v>23</v>
      </c>
      <c r="M27" s="18">
        <v>45168</v>
      </c>
      <c r="N27" s="4">
        <v>1499.95</v>
      </c>
      <c r="O27" s="9">
        <f t="shared" si="0"/>
        <v>26</v>
      </c>
      <c r="Q27" s="21" t="s">
        <v>31</v>
      </c>
      <c r="R27" s="21" t="s">
        <v>40</v>
      </c>
      <c r="S27" s="9" t="str">
        <f t="shared" si="1"/>
        <v>Kathleen Bennett</v>
      </c>
      <c r="X27" s="9" t="str">
        <f>UPPER(LEFT(D27,1)&amp;MID(D27,FIND(" ",D27)+1,1))</f>
        <v>SG</v>
      </c>
    </row>
    <row r="28" spans="1:24" ht="15.75" customHeight="1" thickBot="1" x14ac:dyDescent="0.4">
      <c r="A28" s="17" t="s">
        <v>173</v>
      </c>
      <c r="B28" s="18">
        <v>45424</v>
      </c>
      <c r="C28" s="17" t="s">
        <v>174</v>
      </c>
      <c r="D28" s="17" t="s">
        <v>175</v>
      </c>
      <c r="E28" s="17" t="s">
        <v>176</v>
      </c>
      <c r="F28" s="17" t="s">
        <v>177</v>
      </c>
      <c r="G28" s="17" t="s">
        <v>34</v>
      </c>
      <c r="H28" s="19">
        <v>3</v>
      </c>
      <c r="I28" s="19">
        <v>79.989999999999995</v>
      </c>
      <c r="J28" s="17" t="s">
        <v>35</v>
      </c>
      <c r="K28" s="17" t="s">
        <v>64</v>
      </c>
      <c r="L28" s="17" t="s">
        <v>28</v>
      </c>
      <c r="M28" s="18">
        <v>45012</v>
      </c>
      <c r="N28" s="4">
        <v>239.97</v>
      </c>
      <c r="O28" s="9">
        <f t="shared" si="0"/>
        <v>14</v>
      </c>
      <c r="Q28" s="21" t="s">
        <v>61</v>
      </c>
      <c r="R28" s="21" t="s">
        <v>135</v>
      </c>
      <c r="S28" s="9" t="str">
        <f t="shared" si="1"/>
        <v>-</v>
      </c>
      <c r="X28" s="9" t="str">
        <f>UPPER(LEFT(D28,1)&amp;MID(D28,FIND(" ",D28)+1,1))</f>
        <v>LM</v>
      </c>
    </row>
    <row r="29" spans="1:24" ht="15.75" customHeight="1" thickBot="1" x14ac:dyDescent="0.4">
      <c r="A29" s="17" t="s">
        <v>178</v>
      </c>
      <c r="B29" s="18">
        <v>45424</v>
      </c>
      <c r="C29" s="17" t="s">
        <v>161</v>
      </c>
      <c r="D29" s="17" t="s">
        <v>162</v>
      </c>
      <c r="E29" s="17" t="s">
        <v>179</v>
      </c>
      <c r="F29" s="17" t="s">
        <v>180</v>
      </c>
      <c r="G29" s="17" t="s">
        <v>20</v>
      </c>
      <c r="H29" s="19">
        <v>5</v>
      </c>
      <c r="I29" s="19">
        <v>89.99</v>
      </c>
      <c r="J29" s="17" t="s">
        <v>21</v>
      </c>
      <c r="K29" s="17" t="s">
        <v>41</v>
      </c>
      <c r="L29" s="17" t="s">
        <v>28</v>
      </c>
      <c r="M29" s="18">
        <v>44919</v>
      </c>
      <c r="N29" s="4">
        <v>449.95</v>
      </c>
      <c r="O29" s="9">
        <f t="shared" si="0"/>
        <v>34</v>
      </c>
      <c r="Q29" s="21" t="s">
        <v>40</v>
      </c>
      <c r="R29" s="21" t="s">
        <v>138</v>
      </c>
      <c r="S29" s="9" t="str">
        <f t="shared" si="1"/>
        <v>-</v>
      </c>
      <c r="X29" s="9" t="str">
        <f>UPPER(LEFT(D29,1)&amp;MID(D29,FIND(" ",D29)+1,1))</f>
        <v>PM</v>
      </c>
    </row>
    <row r="30" spans="1:24" ht="15.75" customHeight="1" thickBot="1" x14ac:dyDescent="0.4">
      <c r="A30" s="17" t="s">
        <v>181</v>
      </c>
      <c r="B30" s="18">
        <v>45425</v>
      </c>
      <c r="C30" s="17" t="s">
        <v>182</v>
      </c>
      <c r="D30" s="17" t="s">
        <v>183</v>
      </c>
      <c r="E30" s="17" t="s">
        <v>32</v>
      </c>
      <c r="F30" s="17" t="s">
        <v>33</v>
      </c>
      <c r="G30" s="17" t="s">
        <v>34</v>
      </c>
      <c r="H30" s="19">
        <v>2</v>
      </c>
      <c r="I30" s="19">
        <v>59.99</v>
      </c>
      <c r="J30" s="17" t="s">
        <v>58</v>
      </c>
      <c r="K30" s="17" t="s">
        <v>22</v>
      </c>
      <c r="L30" s="17" t="s">
        <v>37</v>
      </c>
      <c r="M30" s="18">
        <v>45214</v>
      </c>
      <c r="N30" s="4">
        <v>119.98</v>
      </c>
      <c r="O30" s="9">
        <f t="shared" si="0"/>
        <v>29</v>
      </c>
      <c r="Q30" s="21" t="s">
        <v>162</v>
      </c>
      <c r="R30" s="21" t="s">
        <v>141</v>
      </c>
      <c r="S30" s="9" t="str">
        <f t="shared" si="1"/>
        <v>-</v>
      </c>
      <c r="X30" s="9" t="str">
        <f>UPPER(LEFT(D30,1)&amp;MID(D30,FIND(" ",D30)+1,1))</f>
        <v>HR</v>
      </c>
    </row>
    <row r="31" spans="1:24" ht="15.75" customHeight="1" thickBot="1" x14ac:dyDescent="0.4">
      <c r="A31" s="17" t="s">
        <v>184</v>
      </c>
      <c r="B31" s="18">
        <v>45427</v>
      </c>
      <c r="C31" s="17" t="s">
        <v>185</v>
      </c>
      <c r="D31" s="17" t="s">
        <v>463</v>
      </c>
      <c r="E31" s="17" t="s">
        <v>32</v>
      </c>
      <c r="F31" s="17" t="s">
        <v>33</v>
      </c>
      <c r="G31" s="17" t="s">
        <v>34</v>
      </c>
      <c r="H31" s="19">
        <v>4</v>
      </c>
      <c r="I31" s="19">
        <v>59.99</v>
      </c>
      <c r="J31" s="17" t="s">
        <v>58</v>
      </c>
      <c r="K31" s="17" t="s">
        <v>64</v>
      </c>
      <c r="L31" s="17" t="s">
        <v>37</v>
      </c>
      <c r="M31" s="18">
        <v>44867</v>
      </c>
      <c r="N31" s="4">
        <v>239.96</v>
      </c>
      <c r="O31" s="9">
        <f t="shared" si="0"/>
        <v>29</v>
      </c>
      <c r="Q31" s="21" t="s">
        <v>183</v>
      </c>
      <c r="R31" s="21" t="s">
        <v>146</v>
      </c>
      <c r="S31" s="9" t="str">
        <f t="shared" si="1"/>
        <v>-</v>
      </c>
      <c r="X31" s="9" t="str">
        <f>UPPER(LEFT(D31,1)&amp;MID(D31,FIND(" ",D31)+1,1))</f>
        <v>EM</v>
      </c>
    </row>
    <row r="32" spans="1:24" ht="15.75" customHeight="1" thickBot="1" x14ac:dyDescent="0.4">
      <c r="A32" s="17" t="s">
        <v>187</v>
      </c>
      <c r="B32" s="18">
        <v>45427</v>
      </c>
      <c r="C32" s="17" t="s">
        <v>56</v>
      </c>
      <c r="D32" s="17" t="s">
        <v>57</v>
      </c>
      <c r="E32" s="17" t="s">
        <v>188</v>
      </c>
      <c r="F32" s="17" t="s">
        <v>189</v>
      </c>
      <c r="G32" s="17" t="s">
        <v>47</v>
      </c>
      <c r="H32" s="19">
        <v>5</v>
      </c>
      <c r="I32" s="19">
        <v>199.99</v>
      </c>
      <c r="J32" s="17" t="s">
        <v>21</v>
      </c>
      <c r="K32" s="17" t="s">
        <v>36</v>
      </c>
      <c r="L32" s="17" t="s">
        <v>37</v>
      </c>
      <c r="M32" s="18">
        <v>44412</v>
      </c>
      <c r="N32" s="4">
        <v>999.95</v>
      </c>
      <c r="O32" s="9">
        <f t="shared" si="0"/>
        <v>15</v>
      </c>
      <c r="Q32" s="21" t="s">
        <v>195</v>
      </c>
      <c r="R32" s="21" t="s">
        <v>149</v>
      </c>
      <c r="S32" s="9" t="str">
        <f t="shared" si="1"/>
        <v>-</v>
      </c>
      <c r="X32" s="9" t="str">
        <f>UPPER(LEFT(D32,1)&amp;MID(D32,FIND(" ",D32)+1,1))</f>
        <v>CA</v>
      </c>
    </row>
    <row r="33" spans="1:24" ht="15.75" customHeight="1" thickBot="1" x14ac:dyDescent="0.4">
      <c r="A33" s="17" t="s">
        <v>190</v>
      </c>
      <c r="B33" s="18">
        <v>45428</v>
      </c>
      <c r="C33" s="17" t="s">
        <v>191</v>
      </c>
      <c r="D33" s="17" t="s">
        <v>192</v>
      </c>
      <c r="E33" s="17" t="s">
        <v>45</v>
      </c>
      <c r="F33" s="17" t="s">
        <v>46</v>
      </c>
      <c r="G33" s="17" t="s">
        <v>47</v>
      </c>
      <c r="H33" s="19">
        <v>2</v>
      </c>
      <c r="I33" s="19">
        <v>149.99</v>
      </c>
      <c r="J33" s="17" t="s">
        <v>27</v>
      </c>
      <c r="K33" s="17" t="s">
        <v>51</v>
      </c>
      <c r="L33" s="17" t="s">
        <v>23</v>
      </c>
      <c r="M33" s="18">
        <v>44823</v>
      </c>
      <c r="N33" s="4">
        <v>299.98</v>
      </c>
      <c r="O33" s="9">
        <f t="shared" si="0"/>
        <v>35</v>
      </c>
      <c r="Q33" s="21" t="s">
        <v>57</v>
      </c>
      <c r="R33" s="21" t="s">
        <v>152</v>
      </c>
      <c r="S33" s="9" t="str">
        <f t="shared" si="1"/>
        <v>-</v>
      </c>
      <c r="X33" s="9" t="str">
        <f>UPPER(LEFT(D33,1)&amp;MID(D33,FIND(" ",D33)+1,1))</f>
        <v>LA</v>
      </c>
    </row>
    <row r="34" spans="1:24" ht="15.75" customHeight="1" thickBot="1" x14ac:dyDescent="0.4">
      <c r="A34" s="17" t="s">
        <v>193</v>
      </c>
      <c r="B34" s="18">
        <v>45430</v>
      </c>
      <c r="C34" s="17" t="s">
        <v>194</v>
      </c>
      <c r="D34" s="17" t="s">
        <v>195</v>
      </c>
      <c r="E34" s="17" t="s">
        <v>45</v>
      </c>
      <c r="F34" s="17" t="s">
        <v>46</v>
      </c>
      <c r="G34" s="17" t="s">
        <v>47</v>
      </c>
      <c r="H34" s="19">
        <v>3</v>
      </c>
      <c r="I34" s="19">
        <v>149.99</v>
      </c>
      <c r="J34" s="17" t="s">
        <v>27</v>
      </c>
      <c r="K34" s="17" t="s">
        <v>51</v>
      </c>
      <c r="L34" s="17" t="s">
        <v>28</v>
      </c>
      <c r="M34" s="18">
        <v>45068</v>
      </c>
      <c r="N34" s="4">
        <v>449.97</v>
      </c>
      <c r="O34" s="9">
        <f t="shared" si="0"/>
        <v>35</v>
      </c>
      <c r="Q34" s="21" t="s">
        <v>131</v>
      </c>
      <c r="R34" s="21" t="s">
        <v>149</v>
      </c>
      <c r="S34" s="9" t="str">
        <f t="shared" si="1"/>
        <v>-</v>
      </c>
      <c r="X34" s="9" t="str">
        <f>UPPER(LEFT(D34,1)&amp;MID(D34,FIND(" ",D34)+1,1))</f>
        <v>EW</v>
      </c>
    </row>
    <row r="35" spans="1:24" ht="15.75" customHeight="1" thickBot="1" x14ac:dyDescent="0.4">
      <c r="A35" s="17" t="s">
        <v>196</v>
      </c>
      <c r="B35" s="18">
        <v>45432</v>
      </c>
      <c r="C35" s="17" t="s">
        <v>30</v>
      </c>
      <c r="D35" s="17" t="s">
        <v>31</v>
      </c>
      <c r="E35" s="17" t="s">
        <v>62</v>
      </c>
      <c r="F35" s="17" t="s">
        <v>63</v>
      </c>
      <c r="G35" s="17" t="s">
        <v>20</v>
      </c>
      <c r="H35" s="19">
        <v>1</v>
      </c>
      <c r="I35" s="19">
        <v>899.99</v>
      </c>
      <c r="J35" s="17" t="s">
        <v>27</v>
      </c>
      <c r="K35" s="17" t="s">
        <v>51</v>
      </c>
      <c r="L35" s="17" t="s">
        <v>28</v>
      </c>
      <c r="M35" s="18">
        <v>44578</v>
      </c>
      <c r="N35" s="4">
        <v>899.99</v>
      </c>
      <c r="O35" s="9">
        <f t="shared" si="0"/>
        <v>24</v>
      </c>
      <c r="Q35" s="21" t="s">
        <v>245</v>
      </c>
      <c r="R35" s="21" t="s">
        <v>156</v>
      </c>
      <c r="S35" s="9" t="str">
        <f t="shared" si="1"/>
        <v>-</v>
      </c>
      <c r="X35" s="9" t="str">
        <f>UPPER(LEFT(D35,1)&amp;MID(D35,FIND(" ",D35)+1,1))</f>
        <v>KS</v>
      </c>
    </row>
    <row r="36" spans="1:24" ht="15.75" customHeight="1" thickBot="1" x14ac:dyDescent="0.4">
      <c r="A36" s="17" t="s">
        <v>197</v>
      </c>
      <c r="B36" s="18">
        <v>45434</v>
      </c>
      <c r="C36" s="17" t="s">
        <v>161</v>
      </c>
      <c r="D36" s="17" t="s">
        <v>162</v>
      </c>
      <c r="E36" s="17" t="s">
        <v>167</v>
      </c>
      <c r="F36" s="17" t="s">
        <v>168</v>
      </c>
      <c r="G36" s="17" t="s">
        <v>47</v>
      </c>
      <c r="H36" s="19">
        <v>3</v>
      </c>
      <c r="I36" s="19">
        <v>299.99</v>
      </c>
      <c r="J36" s="17" t="s">
        <v>27</v>
      </c>
      <c r="K36" s="17" t="s">
        <v>64</v>
      </c>
      <c r="L36" s="17" t="s">
        <v>23</v>
      </c>
      <c r="M36" s="18">
        <v>44824</v>
      </c>
      <c r="N36" s="4">
        <v>899.97</v>
      </c>
      <c r="O36" s="9">
        <f t="shared" si="0"/>
        <v>26</v>
      </c>
      <c r="Q36" s="21" t="s">
        <v>248</v>
      </c>
      <c r="R36" s="21" t="s">
        <v>159</v>
      </c>
      <c r="S36" s="9" t="str">
        <f t="shared" si="1"/>
        <v>-</v>
      </c>
      <c r="X36" s="9" t="str">
        <f>UPPER(LEFT(D36,1)&amp;MID(D36,FIND(" ",D36)+1,1))</f>
        <v>PM</v>
      </c>
    </row>
    <row r="37" spans="1:24" ht="15.75" customHeight="1" thickBot="1" x14ac:dyDescent="0.4">
      <c r="A37" s="17" t="s">
        <v>198</v>
      </c>
      <c r="B37" s="18">
        <v>45435</v>
      </c>
      <c r="C37" s="17" t="s">
        <v>191</v>
      </c>
      <c r="D37" s="17" t="s">
        <v>192</v>
      </c>
      <c r="E37" s="17" t="s">
        <v>176</v>
      </c>
      <c r="F37" s="17" t="s">
        <v>177</v>
      </c>
      <c r="G37" s="17" t="s">
        <v>34</v>
      </c>
      <c r="H37" s="19">
        <v>3</v>
      </c>
      <c r="I37" s="19">
        <v>79.989999999999995</v>
      </c>
      <c r="J37" s="17" t="s">
        <v>21</v>
      </c>
      <c r="K37" s="17" t="s">
        <v>36</v>
      </c>
      <c r="L37" s="17" t="s">
        <v>23</v>
      </c>
      <c r="M37" s="18">
        <v>45046</v>
      </c>
      <c r="N37" s="4">
        <v>239.97</v>
      </c>
      <c r="O37" s="9">
        <f t="shared" si="0"/>
        <v>14</v>
      </c>
      <c r="X37" s="9" t="str">
        <f>UPPER(LEFT(D37,1)&amp;MID(D37,FIND(" ",D37)+1,1))</f>
        <v>LA</v>
      </c>
    </row>
    <row r="38" spans="1:24" ht="15.75" customHeight="1" thickBot="1" x14ac:dyDescent="0.4">
      <c r="A38" s="17" t="s">
        <v>199</v>
      </c>
      <c r="B38" s="18">
        <v>45438</v>
      </c>
      <c r="C38" s="17" t="s">
        <v>200</v>
      </c>
      <c r="D38" s="17" t="s">
        <v>201</v>
      </c>
      <c r="E38" s="17" t="s">
        <v>188</v>
      </c>
      <c r="F38" s="17" t="s">
        <v>189</v>
      </c>
      <c r="G38" s="17" t="s">
        <v>47</v>
      </c>
      <c r="H38" s="19">
        <v>3</v>
      </c>
      <c r="I38" s="19">
        <v>199.99</v>
      </c>
      <c r="J38" s="17" t="s">
        <v>27</v>
      </c>
      <c r="K38" s="17" t="s">
        <v>41</v>
      </c>
      <c r="L38" s="17" t="s">
        <v>28</v>
      </c>
      <c r="M38" s="18">
        <v>45292</v>
      </c>
      <c r="N38" s="4">
        <v>599.97</v>
      </c>
      <c r="O38" s="9">
        <f t="shared" si="0"/>
        <v>15</v>
      </c>
      <c r="X38" s="9" t="str">
        <f>UPPER(LEFT(D38,1)&amp;MID(D38,FIND(" ",D38)+1,1))</f>
        <v>ST</v>
      </c>
    </row>
    <row r="39" spans="1:24" ht="15.75" customHeight="1" thickBot="1" x14ac:dyDescent="0.4">
      <c r="A39" s="17" t="s">
        <v>202</v>
      </c>
      <c r="B39" s="18">
        <v>45440</v>
      </c>
      <c r="C39" s="17" t="s">
        <v>203</v>
      </c>
      <c r="D39" s="17" t="s">
        <v>204</v>
      </c>
      <c r="E39" s="17" t="s">
        <v>142</v>
      </c>
      <c r="F39" s="17" t="s">
        <v>143</v>
      </c>
      <c r="G39" s="17" t="s">
        <v>20</v>
      </c>
      <c r="H39" s="19">
        <v>5</v>
      </c>
      <c r="I39" s="19">
        <v>699.99</v>
      </c>
      <c r="J39" s="17" t="s">
        <v>35</v>
      </c>
      <c r="K39" s="17" t="s">
        <v>51</v>
      </c>
      <c r="L39" s="17" t="s">
        <v>37</v>
      </c>
      <c r="M39" s="18">
        <v>44407</v>
      </c>
      <c r="N39" s="4">
        <v>3499.95</v>
      </c>
      <c r="O39" s="9">
        <f t="shared" si="0"/>
        <v>31</v>
      </c>
      <c r="X39" s="9" t="str">
        <f>UPPER(LEFT(D39,1)&amp;MID(D39,FIND(" ",D39)+1,1))</f>
        <v>JT</v>
      </c>
    </row>
    <row r="40" spans="1:24" ht="15.75" customHeight="1" thickBot="1" x14ac:dyDescent="0.4">
      <c r="A40" s="17" t="s">
        <v>205</v>
      </c>
      <c r="B40" s="18">
        <v>45441</v>
      </c>
      <c r="C40" s="17" t="s">
        <v>206</v>
      </c>
      <c r="D40" s="17" t="s">
        <v>207</v>
      </c>
      <c r="E40" s="17" t="s">
        <v>179</v>
      </c>
      <c r="F40" s="17" t="s">
        <v>180</v>
      </c>
      <c r="G40" s="17" t="s">
        <v>20</v>
      </c>
      <c r="H40" s="19">
        <v>3</v>
      </c>
      <c r="I40" s="19">
        <v>89.99</v>
      </c>
      <c r="J40" s="17" t="s">
        <v>35</v>
      </c>
      <c r="K40" s="17" t="s">
        <v>22</v>
      </c>
      <c r="L40" s="17" t="s">
        <v>28</v>
      </c>
      <c r="M40" s="18">
        <v>45120</v>
      </c>
      <c r="N40" s="4">
        <v>269.97000000000003</v>
      </c>
      <c r="O40" s="9">
        <f t="shared" si="0"/>
        <v>34</v>
      </c>
      <c r="X40" s="9" t="str">
        <f>UPPER(LEFT(D40,1)&amp;MID(D40,FIND(" ",D40)+1,1))</f>
        <v>HM</v>
      </c>
    </row>
    <row r="41" spans="1:24" ht="15.75" customHeight="1" thickBot="1" x14ac:dyDescent="0.4">
      <c r="A41" s="17" t="s">
        <v>208</v>
      </c>
      <c r="B41" s="18">
        <v>45443</v>
      </c>
      <c r="C41" s="17" t="s">
        <v>209</v>
      </c>
      <c r="D41" s="17" t="s">
        <v>210</v>
      </c>
      <c r="E41" s="17" t="s">
        <v>176</v>
      </c>
      <c r="F41" s="17" t="s">
        <v>177</v>
      </c>
      <c r="G41" s="17" t="s">
        <v>34</v>
      </c>
      <c r="H41" s="19">
        <v>1</v>
      </c>
      <c r="I41" s="19">
        <v>79.989999999999995</v>
      </c>
      <c r="J41" s="17" t="s">
        <v>21</v>
      </c>
      <c r="K41" s="17" t="s">
        <v>41</v>
      </c>
      <c r="L41" s="17" t="s">
        <v>37</v>
      </c>
      <c r="M41" s="18">
        <v>44917</v>
      </c>
      <c r="N41" s="4">
        <v>79.989999999999995</v>
      </c>
      <c r="O41" s="9">
        <f t="shared" si="0"/>
        <v>14</v>
      </c>
      <c r="X41" s="9" t="str">
        <f>UPPER(LEFT(D41,1)&amp;MID(D41,FIND(" ",D41)+1,1))</f>
        <v>DK</v>
      </c>
    </row>
    <row r="42" spans="1:24" ht="15.75" customHeight="1" thickBot="1" x14ac:dyDescent="0.4">
      <c r="A42" s="17" t="s">
        <v>211</v>
      </c>
      <c r="B42" s="18">
        <v>45444</v>
      </c>
      <c r="C42" s="17" t="s">
        <v>212</v>
      </c>
      <c r="D42" s="17" t="s">
        <v>213</v>
      </c>
      <c r="E42" s="17" t="s">
        <v>32</v>
      </c>
      <c r="F42" s="17" t="s">
        <v>33</v>
      </c>
      <c r="G42" s="17" t="s">
        <v>34</v>
      </c>
      <c r="H42" s="19">
        <v>2</v>
      </c>
      <c r="I42" s="19">
        <v>59.99</v>
      </c>
      <c r="J42" s="17" t="s">
        <v>21</v>
      </c>
      <c r="K42" s="17" t="s">
        <v>51</v>
      </c>
      <c r="L42" s="17" t="s">
        <v>23</v>
      </c>
      <c r="M42" s="18">
        <v>45390</v>
      </c>
      <c r="N42" s="4">
        <v>119.98</v>
      </c>
      <c r="O42" s="9">
        <f t="shared" si="0"/>
        <v>29</v>
      </c>
      <c r="X42" s="9" t="str">
        <f>UPPER(LEFT(D42,1)&amp;MID(D42,FIND(" ",D42)+1,1))</f>
        <v>SB</v>
      </c>
    </row>
    <row r="43" spans="1:24" ht="15.75" customHeight="1" thickBot="1" x14ac:dyDescent="0.4">
      <c r="A43" s="17" t="s">
        <v>214</v>
      </c>
      <c r="B43" s="18">
        <v>45444</v>
      </c>
      <c r="C43" s="17" t="s">
        <v>56</v>
      </c>
      <c r="D43" s="17" t="s">
        <v>57</v>
      </c>
      <c r="E43" s="17" t="s">
        <v>179</v>
      </c>
      <c r="F43" s="17" t="s">
        <v>180</v>
      </c>
      <c r="G43" s="17" t="s">
        <v>20</v>
      </c>
      <c r="H43" s="19">
        <v>1</v>
      </c>
      <c r="I43" s="19">
        <v>89.99</v>
      </c>
      <c r="J43" s="17" t="s">
        <v>21</v>
      </c>
      <c r="K43" s="17" t="s">
        <v>41</v>
      </c>
      <c r="L43" s="17" t="s">
        <v>23</v>
      </c>
      <c r="M43" s="18">
        <v>45141</v>
      </c>
      <c r="N43" s="4">
        <v>89.99</v>
      </c>
      <c r="O43" s="9">
        <f t="shared" si="0"/>
        <v>34</v>
      </c>
      <c r="X43" s="9" t="str">
        <f>UPPER(LEFT(D43,1)&amp;MID(D43,FIND(" ",D43)+1,1))</f>
        <v>CA</v>
      </c>
    </row>
    <row r="44" spans="1:24" ht="15.75" customHeight="1" thickBot="1" x14ac:dyDescent="0.4">
      <c r="A44" s="17" t="s">
        <v>215</v>
      </c>
      <c r="B44" s="18">
        <v>45446</v>
      </c>
      <c r="C44" s="17" t="s">
        <v>216</v>
      </c>
      <c r="D44" s="17" t="s">
        <v>217</v>
      </c>
      <c r="E44" s="17" t="s">
        <v>179</v>
      </c>
      <c r="F44" s="17" t="s">
        <v>180</v>
      </c>
      <c r="G44" s="17" t="s">
        <v>20</v>
      </c>
      <c r="H44" s="19">
        <v>5</v>
      </c>
      <c r="I44" s="19">
        <v>89.99</v>
      </c>
      <c r="J44" s="17" t="s">
        <v>27</v>
      </c>
      <c r="K44" s="17" t="s">
        <v>64</v>
      </c>
      <c r="L44" s="17" t="s">
        <v>37</v>
      </c>
      <c r="M44" s="18">
        <v>44587</v>
      </c>
      <c r="N44" s="4">
        <v>449.95</v>
      </c>
      <c r="O44" s="9">
        <f t="shared" si="0"/>
        <v>34</v>
      </c>
      <c r="X44" s="9" t="str">
        <f>UPPER(LEFT(D44,1)&amp;MID(D44,FIND(" ",D44)+1,1))</f>
        <v>SD</v>
      </c>
    </row>
    <row r="45" spans="1:24" ht="15.75" customHeight="1" thickBot="1" x14ac:dyDescent="0.4">
      <c r="A45" s="17" t="s">
        <v>218</v>
      </c>
      <c r="B45" s="18">
        <v>45449</v>
      </c>
      <c r="C45" s="17" t="s">
        <v>25</v>
      </c>
      <c r="D45" s="17" t="s">
        <v>26</v>
      </c>
      <c r="E45" s="17" t="s">
        <v>18</v>
      </c>
      <c r="F45" s="17" t="s">
        <v>19</v>
      </c>
      <c r="G45" s="17" t="s">
        <v>20</v>
      </c>
      <c r="H45" s="19">
        <v>5</v>
      </c>
      <c r="I45" s="19">
        <v>249.99</v>
      </c>
      <c r="J45" s="17" t="s">
        <v>27</v>
      </c>
      <c r="K45" s="17" t="s">
        <v>64</v>
      </c>
      <c r="L45" s="17" t="s">
        <v>37</v>
      </c>
      <c r="M45" s="18">
        <v>44707</v>
      </c>
      <c r="N45" s="4">
        <v>1249.95</v>
      </c>
      <c r="O45" s="9">
        <f t="shared" si="0"/>
        <v>26</v>
      </c>
      <c r="X45" s="9" t="str">
        <f>UPPER(LEFT(D45,1)&amp;MID(D45,FIND(" ",D45)+1,1))</f>
        <v>JJ</v>
      </c>
    </row>
    <row r="46" spans="1:24" ht="15.75" customHeight="1" thickBot="1" x14ac:dyDescent="0.4">
      <c r="A46" s="17" t="s">
        <v>219</v>
      </c>
      <c r="B46" s="18">
        <v>45449</v>
      </c>
      <c r="C46" s="17" t="s">
        <v>220</v>
      </c>
      <c r="D46" s="17" t="s">
        <v>221</v>
      </c>
      <c r="E46" s="17" t="s">
        <v>179</v>
      </c>
      <c r="F46" s="17" t="s">
        <v>180</v>
      </c>
      <c r="G46" s="17" t="s">
        <v>20</v>
      </c>
      <c r="H46" s="19">
        <v>1</v>
      </c>
      <c r="I46" s="19">
        <v>89.99</v>
      </c>
      <c r="J46" s="17" t="s">
        <v>27</v>
      </c>
      <c r="K46" s="17" t="s">
        <v>36</v>
      </c>
      <c r="L46" s="17" t="s">
        <v>37</v>
      </c>
      <c r="M46" s="18">
        <v>44582</v>
      </c>
      <c r="N46" s="4">
        <v>89.99</v>
      </c>
      <c r="O46" s="9">
        <f t="shared" si="0"/>
        <v>34</v>
      </c>
      <c r="X46" s="9" t="str">
        <f>UPPER(LEFT(D46,1)&amp;MID(D46,FIND(" ",D46)+1,1))</f>
        <v>BC</v>
      </c>
    </row>
    <row r="47" spans="1:24" ht="15.75" customHeight="1" thickBot="1" x14ac:dyDescent="0.4">
      <c r="A47" s="17" t="s">
        <v>222</v>
      </c>
      <c r="B47" s="18">
        <v>45450</v>
      </c>
      <c r="C47" s="17" t="s">
        <v>43</v>
      </c>
      <c r="D47" s="17" t="s">
        <v>44</v>
      </c>
      <c r="E47" s="17" t="s">
        <v>45</v>
      </c>
      <c r="F47" s="17" t="s">
        <v>46</v>
      </c>
      <c r="G47" s="17" t="s">
        <v>47</v>
      </c>
      <c r="H47" s="19">
        <v>2</v>
      </c>
      <c r="I47" s="19">
        <v>149.99</v>
      </c>
      <c r="J47" s="17" t="s">
        <v>21</v>
      </c>
      <c r="K47" s="17" t="s">
        <v>64</v>
      </c>
      <c r="L47" s="17" t="s">
        <v>28</v>
      </c>
      <c r="M47" s="18">
        <v>44645</v>
      </c>
      <c r="N47" s="4">
        <v>299.98</v>
      </c>
      <c r="O47" s="9">
        <f t="shared" si="0"/>
        <v>35</v>
      </c>
      <c r="X47" s="9" t="str">
        <f>UPPER(LEFT(D47,1)&amp;MID(D47,FIND(" ",D47)+1,1))</f>
        <v>MB</v>
      </c>
    </row>
    <row r="48" spans="1:24" ht="15.75" customHeight="1" thickBot="1" x14ac:dyDescent="0.4">
      <c r="A48" s="17" t="s">
        <v>223</v>
      </c>
      <c r="B48" s="18">
        <v>45452</v>
      </c>
      <c r="C48" s="17" t="s">
        <v>224</v>
      </c>
      <c r="D48" s="17" t="s">
        <v>225</v>
      </c>
      <c r="E48" s="17" t="s">
        <v>32</v>
      </c>
      <c r="F48" s="17" t="s">
        <v>33</v>
      </c>
      <c r="G48" s="17" t="s">
        <v>34</v>
      </c>
      <c r="H48" s="19">
        <v>4</v>
      </c>
      <c r="I48" s="19">
        <v>59.99</v>
      </c>
      <c r="J48" s="17" t="s">
        <v>21</v>
      </c>
      <c r="K48" s="17" t="s">
        <v>64</v>
      </c>
      <c r="L48" s="17" t="s">
        <v>37</v>
      </c>
      <c r="M48" s="18">
        <v>44435</v>
      </c>
      <c r="N48" s="4">
        <v>239.96</v>
      </c>
      <c r="O48" s="9">
        <f t="shared" si="0"/>
        <v>29</v>
      </c>
      <c r="X48" s="9" t="str">
        <f>UPPER(LEFT(D48,1)&amp;MID(D48,FIND(" ",D48)+1,1))</f>
        <v>JF</v>
      </c>
    </row>
    <row r="49" spans="1:24" ht="15.75" customHeight="1" thickBot="1" x14ac:dyDescent="0.4">
      <c r="A49" s="17" t="s">
        <v>226</v>
      </c>
      <c r="B49" s="18">
        <v>45456</v>
      </c>
      <c r="C49" s="17" t="s">
        <v>191</v>
      </c>
      <c r="D49" s="17" t="s">
        <v>192</v>
      </c>
      <c r="E49" s="17" t="s">
        <v>179</v>
      </c>
      <c r="F49" s="17" t="s">
        <v>180</v>
      </c>
      <c r="G49" s="17" t="s">
        <v>20</v>
      </c>
      <c r="H49" s="19">
        <v>5</v>
      </c>
      <c r="I49" s="19">
        <v>89.99</v>
      </c>
      <c r="J49" s="17" t="s">
        <v>21</v>
      </c>
      <c r="K49" s="17" t="s">
        <v>22</v>
      </c>
      <c r="L49" s="17" t="s">
        <v>28</v>
      </c>
      <c r="M49" s="18">
        <v>44579</v>
      </c>
      <c r="N49" s="4">
        <v>449.95</v>
      </c>
      <c r="O49" s="9">
        <f t="shared" si="0"/>
        <v>34</v>
      </c>
      <c r="X49" s="9" t="str">
        <f>UPPER(LEFT(D49,1)&amp;MID(D49,FIND(" ",D49)+1,1))</f>
        <v>LA</v>
      </c>
    </row>
    <row r="50" spans="1:24" ht="15.75" customHeight="1" thickBot="1" x14ac:dyDescent="0.4">
      <c r="A50" s="17" t="s">
        <v>227</v>
      </c>
      <c r="B50" s="18">
        <v>45459</v>
      </c>
      <c r="C50" s="17" t="s">
        <v>161</v>
      </c>
      <c r="D50" s="17" t="s">
        <v>162</v>
      </c>
      <c r="E50" s="17" t="s">
        <v>179</v>
      </c>
      <c r="F50" s="17" t="s">
        <v>180</v>
      </c>
      <c r="G50" s="17" t="s">
        <v>20</v>
      </c>
      <c r="H50" s="19">
        <v>2</v>
      </c>
      <c r="I50" s="19">
        <v>89.99</v>
      </c>
      <c r="J50" s="17" t="s">
        <v>27</v>
      </c>
      <c r="K50" s="17" t="s">
        <v>36</v>
      </c>
      <c r="L50" s="17" t="s">
        <v>28</v>
      </c>
      <c r="M50" s="18">
        <v>44471</v>
      </c>
      <c r="N50" s="4">
        <v>179.98</v>
      </c>
      <c r="O50" s="9">
        <f t="shared" si="0"/>
        <v>34</v>
      </c>
      <c r="X50" s="9" t="str">
        <f>UPPER(LEFT(D50,1)&amp;MID(D50,FIND(" ",D50)+1,1))</f>
        <v>PM</v>
      </c>
    </row>
    <row r="51" spans="1:24" ht="15.75" customHeight="1" thickBot="1" x14ac:dyDescent="0.4">
      <c r="A51" s="17" t="s">
        <v>228</v>
      </c>
      <c r="B51" s="18">
        <v>45459</v>
      </c>
      <c r="C51" s="17" t="s">
        <v>16</v>
      </c>
      <c r="D51" s="17" t="s">
        <v>17</v>
      </c>
      <c r="E51" s="17" t="s">
        <v>62</v>
      </c>
      <c r="F51" s="17" t="s">
        <v>63</v>
      </c>
      <c r="G51" s="17" t="s">
        <v>20</v>
      </c>
      <c r="H51" s="19">
        <v>5</v>
      </c>
      <c r="I51" s="19">
        <v>899.99</v>
      </c>
      <c r="J51" s="17" t="s">
        <v>27</v>
      </c>
      <c r="K51" s="17" t="s">
        <v>36</v>
      </c>
      <c r="L51" s="17" t="s">
        <v>37</v>
      </c>
      <c r="M51" s="18">
        <v>44974</v>
      </c>
      <c r="N51" s="4">
        <v>4499.95</v>
      </c>
      <c r="O51" s="9">
        <f t="shared" si="0"/>
        <v>24</v>
      </c>
      <c r="X51" s="9" t="str">
        <f>UPPER(LEFT(D51,1)&amp;MID(D51,FIND(" ",D51)+1,1))</f>
        <v>PB</v>
      </c>
    </row>
    <row r="52" spans="1:24" ht="15.75" customHeight="1" thickBot="1" x14ac:dyDescent="0.4">
      <c r="A52" s="17" t="s">
        <v>229</v>
      </c>
      <c r="B52" s="18">
        <v>45459</v>
      </c>
      <c r="C52" s="17" t="s">
        <v>185</v>
      </c>
      <c r="D52" s="17" t="s">
        <v>186</v>
      </c>
      <c r="E52" s="17" t="s">
        <v>62</v>
      </c>
      <c r="F52" s="17" t="s">
        <v>63</v>
      </c>
      <c r="G52" s="17" t="s">
        <v>20</v>
      </c>
      <c r="H52" s="19">
        <v>5</v>
      </c>
      <c r="I52" s="19">
        <v>899.99</v>
      </c>
      <c r="J52" s="17" t="s">
        <v>35</v>
      </c>
      <c r="K52" s="17" t="s">
        <v>64</v>
      </c>
      <c r="L52" s="17" t="s">
        <v>28</v>
      </c>
      <c r="M52" s="18">
        <v>45278</v>
      </c>
      <c r="N52" s="4">
        <v>4499.95</v>
      </c>
      <c r="O52" s="9">
        <f t="shared" si="0"/>
        <v>24</v>
      </c>
      <c r="X52" s="9" t="str">
        <f>UPPER(LEFT(D52,1)&amp;MID(D52,FIND(" ",D52)+1,1))</f>
        <v>EM</v>
      </c>
    </row>
    <row r="53" spans="1:24" ht="15.75" customHeight="1" thickBot="1" x14ac:dyDescent="0.4">
      <c r="A53" s="17" t="s">
        <v>230</v>
      </c>
      <c r="B53" s="18">
        <v>45460</v>
      </c>
      <c r="C53" s="17" t="s">
        <v>220</v>
      </c>
      <c r="D53" s="17" t="s">
        <v>221</v>
      </c>
      <c r="E53" s="17" t="s">
        <v>32</v>
      </c>
      <c r="F53" s="17" t="s">
        <v>33</v>
      </c>
      <c r="G53" s="17" t="s">
        <v>34</v>
      </c>
      <c r="H53" s="19">
        <v>1</v>
      </c>
      <c r="I53" s="19">
        <v>59.99</v>
      </c>
      <c r="J53" s="17" t="s">
        <v>58</v>
      </c>
      <c r="K53" s="17" t="s">
        <v>51</v>
      </c>
      <c r="L53" s="17" t="s">
        <v>28</v>
      </c>
      <c r="M53" s="18">
        <v>45190</v>
      </c>
      <c r="N53" s="4">
        <v>59.99</v>
      </c>
      <c r="O53" s="9">
        <f t="shared" si="0"/>
        <v>29</v>
      </c>
      <c r="X53" s="9" t="str">
        <f>UPPER(LEFT(D53,1)&amp;MID(D53,FIND(" ",D53)+1,1))</f>
        <v>BC</v>
      </c>
    </row>
    <row r="54" spans="1:24" ht="15.75" customHeight="1" thickBot="1" x14ac:dyDescent="0.4">
      <c r="A54" s="17" t="s">
        <v>231</v>
      </c>
      <c r="B54" s="18">
        <v>45460</v>
      </c>
      <c r="C54" s="17" t="s">
        <v>203</v>
      </c>
      <c r="D54" s="17" t="s">
        <v>204</v>
      </c>
      <c r="E54" s="17" t="s">
        <v>167</v>
      </c>
      <c r="F54" s="17" t="s">
        <v>168</v>
      </c>
      <c r="G54" s="17" t="s">
        <v>47</v>
      </c>
      <c r="H54" s="19">
        <v>2</v>
      </c>
      <c r="I54" s="19">
        <v>299.99</v>
      </c>
      <c r="J54" s="17" t="s">
        <v>58</v>
      </c>
      <c r="K54" s="17" t="s">
        <v>64</v>
      </c>
      <c r="L54" s="17" t="s">
        <v>37</v>
      </c>
      <c r="M54" s="18">
        <v>45253</v>
      </c>
      <c r="N54" s="4">
        <v>599.98</v>
      </c>
      <c r="O54" s="9">
        <f t="shared" si="0"/>
        <v>26</v>
      </c>
      <c r="X54" s="9" t="str">
        <f>UPPER(LEFT(D54,1)&amp;MID(D54,FIND(" ",D54)+1,1))</f>
        <v>JT</v>
      </c>
    </row>
    <row r="55" spans="1:24" ht="15.75" customHeight="1" thickBot="1" x14ac:dyDescent="0.4">
      <c r="A55" s="17" t="s">
        <v>232</v>
      </c>
      <c r="B55" s="18">
        <v>45468</v>
      </c>
      <c r="C55" s="17" t="s">
        <v>233</v>
      </c>
      <c r="D55" s="17" t="s">
        <v>234</v>
      </c>
      <c r="E55" s="17" t="s">
        <v>179</v>
      </c>
      <c r="F55" s="17" t="s">
        <v>180</v>
      </c>
      <c r="G55" s="17" t="s">
        <v>20</v>
      </c>
      <c r="H55" s="19">
        <v>4</v>
      </c>
      <c r="I55" s="19">
        <v>89.99</v>
      </c>
      <c r="J55" s="17" t="s">
        <v>58</v>
      </c>
      <c r="K55" s="17" t="s">
        <v>36</v>
      </c>
      <c r="L55" s="17" t="s">
        <v>23</v>
      </c>
      <c r="M55" s="18">
        <v>45281</v>
      </c>
      <c r="N55" s="4">
        <v>359.96</v>
      </c>
      <c r="O55" s="9">
        <f t="shared" si="0"/>
        <v>34</v>
      </c>
      <c r="X55" s="9" t="str">
        <f>UPPER(LEFT(D55,1)&amp;MID(D55,FIND(" ",D55)+1,1))</f>
        <v>RR</v>
      </c>
    </row>
    <row r="56" spans="1:24" ht="15.75" customHeight="1" thickBot="1" x14ac:dyDescent="0.4">
      <c r="A56" s="17" t="s">
        <v>235</v>
      </c>
      <c r="B56" s="18">
        <v>45469</v>
      </c>
      <c r="C56" s="17" t="s">
        <v>30</v>
      </c>
      <c r="D56" s="17" t="s">
        <v>31</v>
      </c>
      <c r="E56" s="17" t="s">
        <v>176</v>
      </c>
      <c r="F56" s="17" t="s">
        <v>177</v>
      </c>
      <c r="G56" s="17" t="s">
        <v>34</v>
      </c>
      <c r="H56" s="19">
        <v>1</v>
      </c>
      <c r="I56" s="19">
        <v>79.989999999999995</v>
      </c>
      <c r="J56" s="17" t="s">
        <v>35</v>
      </c>
      <c r="K56" s="17" t="s">
        <v>22</v>
      </c>
      <c r="L56" s="17" t="s">
        <v>28</v>
      </c>
      <c r="M56" s="18">
        <v>45352</v>
      </c>
      <c r="N56" s="4">
        <v>79.989999999999995</v>
      </c>
      <c r="O56" s="9">
        <f t="shared" si="0"/>
        <v>14</v>
      </c>
      <c r="X56" s="9" t="str">
        <f>UPPER(LEFT(D56,1)&amp;MID(D56,FIND(" ",D56)+1,1))</f>
        <v>KS</v>
      </c>
    </row>
    <row r="57" spans="1:24" ht="15.75" customHeight="1" thickBot="1" x14ac:dyDescent="0.4">
      <c r="A57" s="17" t="s">
        <v>236</v>
      </c>
      <c r="B57" s="18">
        <v>45469</v>
      </c>
      <c r="C57" s="17" t="s">
        <v>60</v>
      </c>
      <c r="D57" s="17" t="s">
        <v>61</v>
      </c>
      <c r="E57" s="17" t="s">
        <v>179</v>
      </c>
      <c r="F57" s="17" t="s">
        <v>180</v>
      </c>
      <c r="G57" s="17" t="s">
        <v>20</v>
      </c>
      <c r="H57" s="19">
        <v>2</v>
      </c>
      <c r="I57" s="19">
        <v>89.99</v>
      </c>
      <c r="J57" s="17" t="s">
        <v>21</v>
      </c>
      <c r="K57" s="17" t="s">
        <v>51</v>
      </c>
      <c r="L57" s="17" t="s">
        <v>23</v>
      </c>
      <c r="M57" s="18">
        <v>44438</v>
      </c>
      <c r="N57" s="4">
        <v>179.98</v>
      </c>
      <c r="O57" s="9">
        <f t="shared" si="0"/>
        <v>34</v>
      </c>
      <c r="X57" s="9" t="str">
        <f>UPPER(LEFT(D57,1)&amp;MID(D57,FIND(" ",D57)+1,1))</f>
        <v>RT</v>
      </c>
    </row>
    <row r="58" spans="1:24" ht="15.75" customHeight="1" thickBot="1" x14ac:dyDescent="0.4">
      <c r="A58" s="17" t="s">
        <v>237</v>
      </c>
      <c r="B58" s="18">
        <v>45471</v>
      </c>
      <c r="C58" s="17" t="s">
        <v>39</v>
      </c>
      <c r="D58" s="17" t="s">
        <v>40</v>
      </c>
      <c r="E58" s="17" t="s">
        <v>142</v>
      </c>
      <c r="F58" s="17" t="s">
        <v>143</v>
      </c>
      <c r="G58" s="17" t="s">
        <v>20</v>
      </c>
      <c r="H58" s="19">
        <v>3</v>
      </c>
      <c r="I58" s="19">
        <v>699.99</v>
      </c>
      <c r="J58" s="17" t="s">
        <v>27</v>
      </c>
      <c r="K58" s="17" t="s">
        <v>64</v>
      </c>
      <c r="L58" s="17" t="s">
        <v>28</v>
      </c>
      <c r="M58" s="18">
        <v>45102</v>
      </c>
      <c r="N58" s="4">
        <v>2099.9699999999998</v>
      </c>
      <c r="O58" s="9">
        <f t="shared" si="0"/>
        <v>31</v>
      </c>
      <c r="X58" s="9" t="str">
        <f>UPPER(LEFT(D58,1)&amp;MID(D58,FIND(" ",D58)+1,1))</f>
        <v>KB</v>
      </c>
    </row>
    <row r="59" spans="1:24" ht="15.75" customHeight="1" thickBot="1" x14ac:dyDescent="0.4">
      <c r="A59" s="17" t="s">
        <v>238</v>
      </c>
      <c r="B59" s="18">
        <v>45471</v>
      </c>
      <c r="C59" s="17" t="s">
        <v>161</v>
      </c>
      <c r="D59" s="17" t="s">
        <v>162</v>
      </c>
      <c r="E59" s="17" t="s">
        <v>62</v>
      </c>
      <c r="F59" s="17" t="s">
        <v>63</v>
      </c>
      <c r="G59" s="17" t="s">
        <v>20</v>
      </c>
      <c r="H59" s="19">
        <v>4</v>
      </c>
      <c r="I59" s="19">
        <v>899.99</v>
      </c>
      <c r="J59" s="17" t="s">
        <v>27</v>
      </c>
      <c r="K59" s="17" t="s">
        <v>64</v>
      </c>
      <c r="L59" s="17" t="s">
        <v>28</v>
      </c>
      <c r="M59" s="18">
        <v>44993</v>
      </c>
      <c r="N59" s="4">
        <v>3599.96</v>
      </c>
      <c r="O59" s="9">
        <f t="shared" si="0"/>
        <v>24</v>
      </c>
      <c r="X59" s="9" t="str">
        <f>UPPER(LEFT(D59,1)&amp;MID(D59,FIND(" ",D59)+1,1))</f>
        <v>PM</v>
      </c>
    </row>
    <row r="60" spans="1:24" ht="15.75" customHeight="1" thickBot="1" x14ac:dyDescent="0.4">
      <c r="A60" s="17" t="s">
        <v>239</v>
      </c>
      <c r="B60" s="18">
        <v>45472</v>
      </c>
      <c r="C60" s="17" t="s">
        <v>182</v>
      </c>
      <c r="D60" s="17" t="s">
        <v>183</v>
      </c>
      <c r="E60" s="17" t="s">
        <v>45</v>
      </c>
      <c r="F60" s="17" t="s">
        <v>46</v>
      </c>
      <c r="G60" s="17" t="s">
        <v>47</v>
      </c>
      <c r="H60" s="19">
        <v>1</v>
      </c>
      <c r="I60" s="19">
        <v>149.99</v>
      </c>
      <c r="J60" s="17" t="s">
        <v>35</v>
      </c>
      <c r="K60" s="17" t="s">
        <v>64</v>
      </c>
      <c r="L60" s="17" t="s">
        <v>23</v>
      </c>
      <c r="M60" s="18">
        <v>44851</v>
      </c>
      <c r="N60" s="4">
        <v>149.99</v>
      </c>
      <c r="O60" s="9">
        <f t="shared" si="0"/>
        <v>35</v>
      </c>
      <c r="X60" s="9" t="str">
        <f>UPPER(LEFT(D60,1)&amp;MID(D60,FIND(" ",D60)+1,1))</f>
        <v>HR</v>
      </c>
    </row>
    <row r="61" spans="1:24" ht="15.75" customHeight="1" thickBot="1" x14ac:dyDescent="0.4">
      <c r="A61" s="17" t="s">
        <v>240</v>
      </c>
      <c r="B61" s="18">
        <v>45474</v>
      </c>
      <c r="C61" s="17" t="s">
        <v>194</v>
      </c>
      <c r="D61" s="17" t="s">
        <v>195</v>
      </c>
      <c r="E61" s="17" t="s">
        <v>179</v>
      </c>
      <c r="F61" s="17" t="s">
        <v>180</v>
      </c>
      <c r="G61" s="17" t="s">
        <v>20</v>
      </c>
      <c r="H61" s="19">
        <v>2</v>
      </c>
      <c r="I61" s="19">
        <v>89.99</v>
      </c>
      <c r="J61" s="17" t="s">
        <v>35</v>
      </c>
      <c r="K61" s="17" t="s">
        <v>22</v>
      </c>
      <c r="L61" s="17" t="s">
        <v>28</v>
      </c>
      <c r="M61" s="18">
        <v>45275</v>
      </c>
      <c r="N61" s="4">
        <v>179.98</v>
      </c>
      <c r="O61" s="9">
        <f t="shared" si="0"/>
        <v>34</v>
      </c>
      <c r="X61" s="9" t="str">
        <f>UPPER(LEFT(D61,1)&amp;MID(D61,FIND(" ",D61)+1,1))</f>
        <v>EW</v>
      </c>
    </row>
    <row r="62" spans="1:24" ht="15.75" customHeight="1" thickBot="1" x14ac:dyDescent="0.4">
      <c r="A62" s="17" t="s">
        <v>241</v>
      </c>
      <c r="B62" s="18">
        <v>45475</v>
      </c>
      <c r="C62" s="17" t="s">
        <v>56</v>
      </c>
      <c r="D62" s="17" t="s">
        <v>57</v>
      </c>
      <c r="E62" s="17" t="s">
        <v>179</v>
      </c>
      <c r="F62" s="17" t="s">
        <v>180</v>
      </c>
      <c r="G62" s="17" t="s">
        <v>20</v>
      </c>
      <c r="H62" s="19">
        <v>1</v>
      </c>
      <c r="I62" s="19">
        <v>89.99</v>
      </c>
      <c r="J62" s="17" t="s">
        <v>35</v>
      </c>
      <c r="K62" s="17" t="s">
        <v>51</v>
      </c>
      <c r="L62" s="17" t="s">
        <v>37</v>
      </c>
      <c r="M62" s="18">
        <v>44802</v>
      </c>
      <c r="N62" s="4">
        <v>89.99</v>
      </c>
      <c r="O62" s="9">
        <f t="shared" si="0"/>
        <v>34</v>
      </c>
      <c r="X62" s="9" t="str">
        <f>UPPER(LEFT(D62,1)&amp;MID(D62,FIND(" ",D62)+1,1))</f>
        <v>CA</v>
      </c>
    </row>
    <row r="63" spans="1:24" ht="15.75" customHeight="1" thickBot="1" x14ac:dyDescent="0.4">
      <c r="A63" s="17" t="s">
        <v>242</v>
      </c>
      <c r="B63" s="18">
        <v>45476</v>
      </c>
      <c r="C63" s="17" t="s">
        <v>130</v>
      </c>
      <c r="D63" s="17" t="s">
        <v>131</v>
      </c>
      <c r="E63" s="17" t="s">
        <v>179</v>
      </c>
      <c r="F63" s="17" t="s">
        <v>180</v>
      </c>
      <c r="G63" s="17" t="s">
        <v>20</v>
      </c>
      <c r="H63" s="19">
        <v>1</v>
      </c>
      <c r="I63" s="19">
        <v>89.99</v>
      </c>
      <c r="J63" s="17" t="s">
        <v>21</v>
      </c>
      <c r="K63" s="17" t="s">
        <v>36</v>
      </c>
      <c r="L63" s="17" t="s">
        <v>37</v>
      </c>
      <c r="M63" s="18">
        <v>44611</v>
      </c>
      <c r="N63" s="4">
        <v>89.99</v>
      </c>
      <c r="O63" s="9">
        <f t="shared" si="0"/>
        <v>34</v>
      </c>
      <c r="X63" s="9" t="str">
        <f>UPPER(LEFT(D63,1)&amp;MID(D63,FIND(" ",D63)+1,1))</f>
        <v>SG</v>
      </c>
    </row>
    <row r="64" spans="1:24" ht="15.75" customHeight="1" thickBot="1" x14ac:dyDescent="0.4">
      <c r="A64" s="17" t="s">
        <v>243</v>
      </c>
      <c r="B64" s="18">
        <v>45476</v>
      </c>
      <c r="C64" s="17" t="s">
        <v>244</v>
      </c>
      <c r="D64" s="17" t="s">
        <v>245</v>
      </c>
      <c r="E64" s="17" t="s">
        <v>176</v>
      </c>
      <c r="F64" s="17" t="s">
        <v>177</v>
      </c>
      <c r="G64" s="17" t="s">
        <v>34</v>
      </c>
      <c r="H64" s="19">
        <v>5</v>
      </c>
      <c r="I64" s="19">
        <v>79.989999999999995</v>
      </c>
      <c r="J64" s="17" t="s">
        <v>58</v>
      </c>
      <c r="K64" s="17" t="s">
        <v>22</v>
      </c>
      <c r="L64" s="17" t="s">
        <v>23</v>
      </c>
      <c r="M64" s="18">
        <v>44981</v>
      </c>
      <c r="N64" s="4">
        <v>399.95</v>
      </c>
      <c r="O64" s="9">
        <f t="shared" si="0"/>
        <v>14</v>
      </c>
      <c r="X64" s="9" t="str">
        <f>UPPER(LEFT(D64,1)&amp;MID(D64,FIND(" ",D64)+1,1))</f>
        <v>DM</v>
      </c>
    </row>
    <row r="65" spans="1:24" ht="15.75" customHeight="1" thickBot="1" x14ac:dyDescent="0.4">
      <c r="A65" s="17" t="s">
        <v>246</v>
      </c>
      <c r="B65" s="18">
        <v>45481</v>
      </c>
      <c r="C65" s="17" t="s">
        <v>247</v>
      </c>
      <c r="D65" s="17" t="s">
        <v>248</v>
      </c>
      <c r="E65" s="17" t="s">
        <v>45</v>
      </c>
      <c r="F65" s="17" t="s">
        <v>46</v>
      </c>
      <c r="G65" s="17" t="s">
        <v>47</v>
      </c>
      <c r="H65" s="19">
        <v>1</v>
      </c>
      <c r="I65" s="19">
        <v>149.99</v>
      </c>
      <c r="J65" s="17" t="s">
        <v>35</v>
      </c>
      <c r="K65" s="17" t="s">
        <v>41</v>
      </c>
      <c r="L65" s="17" t="s">
        <v>23</v>
      </c>
      <c r="M65" s="18">
        <v>44421</v>
      </c>
      <c r="N65" s="4">
        <v>149.99</v>
      </c>
      <c r="O65" s="9">
        <f t="shared" si="0"/>
        <v>35</v>
      </c>
      <c r="X65" s="9" t="str">
        <f>UPPER(LEFT(D65,1)&amp;MID(D65,FIND(" ",D65)+1,1))</f>
        <v>MW</v>
      </c>
    </row>
    <row r="66" spans="1:24" ht="15.75" customHeight="1" thickBot="1" x14ac:dyDescent="0.4">
      <c r="A66" s="17" t="s">
        <v>249</v>
      </c>
      <c r="B66" s="18">
        <v>45481</v>
      </c>
      <c r="C66" s="17" t="s">
        <v>43</v>
      </c>
      <c r="D66" s="17" t="s">
        <v>44</v>
      </c>
      <c r="E66" s="17" t="s">
        <v>142</v>
      </c>
      <c r="F66" s="17" t="s">
        <v>143</v>
      </c>
      <c r="G66" s="17" t="s">
        <v>20</v>
      </c>
      <c r="H66" s="19">
        <v>2</v>
      </c>
      <c r="I66" s="19">
        <v>699.99</v>
      </c>
      <c r="J66" s="17" t="s">
        <v>35</v>
      </c>
      <c r="K66" s="17" t="s">
        <v>64</v>
      </c>
      <c r="L66" s="17" t="s">
        <v>28</v>
      </c>
      <c r="M66" s="18">
        <v>45389</v>
      </c>
      <c r="N66" s="4">
        <v>1399.98</v>
      </c>
      <c r="O66" s="9">
        <f t="shared" si="0"/>
        <v>31</v>
      </c>
      <c r="X66" s="9" t="str">
        <f>UPPER(LEFT(D66,1)&amp;MID(D66,FIND(" ",D66)+1,1))</f>
        <v>MB</v>
      </c>
    </row>
    <row r="67" spans="1:24" ht="15.75" customHeight="1" thickBot="1" x14ac:dyDescent="0.4">
      <c r="A67" s="17" t="s">
        <v>250</v>
      </c>
      <c r="B67" s="18">
        <v>45481</v>
      </c>
      <c r="C67" s="17" t="s">
        <v>158</v>
      </c>
      <c r="D67" s="17" t="s">
        <v>159</v>
      </c>
      <c r="E67" s="17" t="s">
        <v>179</v>
      </c>
      <c r="F67" s="17" t="s">
        <v>180</v>
      </c>
      <c r="G67" s="17" t="s">
        <v>20</v>
      </c>
      <c r="H67" s="19">
        <v>5</v>
      </c>
      <c r="I67" s="19">
        <v>89.99</v>
      </c>
      <c r="J67" s="17" t="s">
        <v>58</v>
      </c>
      <c r="K67" s="17" t="s">
        <v>41</v>
      </c>
      <c r="L67" s="17" t="s">
        <v>28</v>
      </c>
      <c r="M67" s="18">
        <v>45161</v>
      </c>
      <c r="N67" s="4">
        <v>449.95</v>
      </c>
      <c r="O67" s="9">
        <f t="shared" ref="O67:O130" si="2">COUNTIF($F:$F,F67)</f>
        <v>34</v>
      </c>
      <c r="X67" s="9" t="str">
        <f>UPPER(LEFT(D67,1)&amp;MID(D67,FIND(" ",D67)+1,1))</f>
        <v>BY</v>
      </c>
    </row>
    <row r="68" spans="1:24" ht="15.75" customHeight="1" thickBot="1" x14ac:dyDescent="0.4">
      <c r="A68" s="17" t="s">
        <v>251</v>
      </c>
      <c r="B68" s="18">
        <v>45482</v>
      </c>
      <c r="C68" s="17" t="s">
        <v>233</v>
      </c>
      <c r="D68" s="17" t="s">
        <v>234</v>
      </c>
      <c r="E68" s="17" t="s">
        <v>32</v>
      </c>
      <c r="F68" s="17" t="s">
        <v>33</v>
      </c>
      <c r="G68" s="17" t="s">
        <v>34</v>
      </c>
      <c r="H68" s="19">
        <v>4</v>
      </c>
      <c r="I68" s="19">
        <v>59.99</v>
      </c>
      <c r="J68" s="17" t="s">
        <v>21</v>
      </c>
      <c r="K68" s="17" t="s">
        <v>36</v>
      </c>
      <c r="L68" s="17" t="s">
        <v>37</v>
      </c>
      <c r="M68" s="18">
        <v>44509</v>
      </c>
      <c r="N68" s="4">
        <v>239.96</v>
      </c>
      <c r="O68" s="9">
        <f t="shared" si="2"/>
        <v>29</v>
      </c>
      <c r="X68" s="9" t="str">
        <f>UPPER(LEFT(D68,1)&amp;MID(D68,FIND(" ",D68)+1,1))</f>
        <v>RR</v>
      </c>
    </row>
    <row r="69" spans="1:24" ht="15.75" customHeight="1" thickBot="1" x14ac:dyDescent="0.4">
      <c r="A69" s="17" t="s">
        <v>252</v>
      </c>
      <c r="B69" s="18">
        <v>45484</v>
      </c>
      <c r="C69" s="17" t="s">
        <v>25</v>
      </c>
      <c r="D69" s="17" t="s">
        <v>26</v>
      </c>
      <c r="E69" s="17" t="s">
        <v>53</v>
      </c>
      <c r="F69" s="17" t="s">
        <v>54</v>
      </c>
      <c r="G69" s="17" t="s">
        <v>20</v>
      </c>
      <c r="H69" s="19">
        <v>1</v>
      </c>
      <c r="I69" s="19">
        <v>149.99</v>
      </c>
      <c r="J69" s="17" t="s">
        <v>21</v>
      </c>
      <c r="K69" s="17" t="s">
        <v>22</v>
      </c>
      <c r="L69" s="17" t="s">
        <v>37</v>
      </c>
      <c r="M69" s="18">
        <v>44909</v>
      </c>
      <c r="N69" s="4">
        <v>149.99</v>
      </c>
      <c r="O69" s="9">
        <f t="shared" si="2"/>
        <v>16</v>
      </c>
      <c r="X69" s="9" t="str">
        <f>UPPER(LEFT(D69,1)&amp;MID(D69,FIND(" ",D69)+1,1))</f>
        <v>JJ</v>
      </c>
    </row>
    <row r="70" spans="1:24" ht="15.75" customHeight="1" thickBot="1" x14ac:dyDescent="0.4">
      <c r="A70" s="17" t="s">
        <v>253</v>
      </c>
      <c r="B70" s="18">
        <v>45484</v>
      </c>
      <c r="C70" s="17" t="s">
        <v>254</v>
      </c>
      <c r="D70" s="17" t="s">
        <v>255</v>
      </c>
      <c r="E70" s="17" t="s">
        <v>167</v>
      </c>
      <c r="F70" s="17" t="s">
        <v>168</v>
      </c>
      <c r="G70" s="17" t="s">
        <v>47</v>
      </c>
      <c r="H70" s="19">
        <v>1</v>
      </c>
      <c r="I70" s="19">
        <v>299.99</v>
      </c>
      <c r="J70" s="17" t="s">
        <v>27</v>
      </c>
      <c r="K70" s="17" t="s">
        <v>41</v>
      </c>
      <c r="L70" s="17" t="s">
        <v>28</v>
      </c>
      <c r="M70" s="18">
        <v>44891</v>
      </c>
      <c r="N70" s="4">
        <v>299.99</v>
      </c>
      <c r="O70" s="9">
        <f t="shared" si="2"/>
        <v>26</v>
      </c>
      <c r="X70" s="9" t="str">
        <f>UPPER(LEFT(D70,1)&amp;MID(D70,FIND(" ",D70)+1,1))</f>
        <v>FT</v>
      </c>
    </row>
    <row r="71" spans="1:24" ht="15.75" customHeight="1" thickBot="1" x14ac:dyDescent="0.4">
      <c r="A71" s="17" t="s">
        <v>256</v>
      </c>
      <c r="B71" s="18">
        <v>45487</v>
      </c>
      <c r="C71" s="17" t="s">
        <v>254</v>
      </c>
      <c r="D71" s="17" t="s">
        <v>255</v>
      </c>
      <c r="E71" s="17" t="s">
        <v>188</v>
      </c>
      <c r="F71" s="17" t="s">
        <v>189</v>
      </c>
      <c r="G71" s="17" t="s">
        <v>47</v>
      </c>
      <c r="H71" s="19">
        <v>2</v>
      </c>
      <c r="I71" s="19">
        <v>199.99</v>
      </c>
      <c r="J71" s="17" t="s">
        <v>21</v>
      </c>
      <c r="K71" s="17" t="s">
        <v>41</v>
      </c>
      <c r="L71" s="17" t="s">
        <v>23</v>
      </c>
      <c r="M71" s="18">
        <v>44541</v>
      </c>
      <c r="N71" s="4">
        <v>399.98</v>
      </c>
      <c r="O71" s="9">
        <f t="shared" si="2"/>
        <v>15</v>
      </c>
      <c r="X71" s="9" t="str">
        <f>UPPER(LEFT(D71,1)&amp;MID(D71,FIND(" ",D71)+1,1))</f>
        <v>FT</v>
      </c>
    </row>
    <row r="72" spans="1:24" ht="15.75" customHeight="1" thickBot="1" x14ac:dyDescent="0.4">
      <c r="A72" s="17" t="s">
        <v>257</v>
      </c>
      <c r="B72" s="18">
        <v>45490</v>
      </c>
      <c r="C72" s="17" t="s">
        <v>258</v>
      </c>
      <c r="D72" s="17" t="s">
        <v>259</v>
      </c>
      <c r="E72" s="17" t="s">
        <v>32</v>
      </c>
      <c r="F72" s="17" t="s">
        <v>33</v>
      </c>
      <c r="G72" s="17" t="s">
        <v>34</v>
      </c>
      <c r="H72" s="19">
        <v>3</v>
      </c>
      <c r="I72" s="19">
        <v>59.99</v>
      </c>
      <c r="J72" s="17" t="s">
        <v>27</v>
      </c>
      <c r="K72" s="17" t="s">
        <v>51</v>
      </c>
      <c r="L72" s="17" t="s">
        <v>23</v>
      </c>
      <c r="M72" s="18">
        <v>45130</v>
      </c>
      <c r="N72" s="4">
        <v>179.97</v>
      </c>
      <c r="O72" s="9">
        <f t="shared" si="2"/>
        <v>29</v>
      </c>
      <c r="X72" s="9" t="str">
        <f>UPPER(LEFT(D72,1)&amp;MID(D72,FIND(" ",D72)+1,1))</f>
        <v>GM</v>
      </c>
    </row>
    <row r="73" spans="1:24" ht="15.75" customHeight="1" thickBot="1" x14ac:dyDescent="0.4">
      <c r="A73" s="17" t="s">
        <v>260</v>
      </c>
      <c r="B73" s="18">
        <v>45490</v>
      </c>
      <c r="C73" s="17" t="s">
        <v>134</v>
      </c>
      <c r="D73" s="17" t="s">
        <v>135</v>
      </c>
      <c r="E73" s="17" t="s">
        <v>45</v>
      </c>
      <c r="F73" s="17" t="s">
        <v>46</v>
      </c>
      <c r="G73" s="17" t="s">
        <v>47</v>
      </c>
      <c r="H73" s="19">
        <v>3</v>
      </c>
      <c r="I73" s="19">
        <v>149.99</v>
      </c>
      <c r="J73" s="17" t="s">
        <v>21</v>
      </c>
      <c r="K73" s="17" t="s">
        <v>22</v>
      </c>
      <c r="L73" s="17" t="s">
        <v>28</v>
      </c>
      <c r="M73" s="18">
        <v>45199</v>
      </c>
      <c r="N73" s="4">
        <v>449.97</v>
      </c>
      <c r="O73" s="9">
        <f t="shared" si="2"/>
        <v>35</v>
      </c>
      <c r="X73" s="9" t="str">
        <f>UPPER(LEFT(D73,1)&amp;MID(D73,FIND(" ",D73)+1,1))</f>
        <v>PR</v>
      </c>
    </row>
    <row r="74" spans="1:24" ht="15.75" customHeight="1" thickBot="1" x14ac:dyDescent="0.4">
      <c r="A74" s="17" t="s">
        <v>261</v>
      </c>
      <c r="B74" s="18">
        <v>45491</v>
      </c>
      <c r="C74" s="17" t="s">
        <v>127</v>
      </c>
      <c r="D74" s="17" t="s">
        <v>128</v>
      </c>
      <c r="E74" s="17" t="s">
        <v>188</v>
      </c>
      <c r="F74" s="17" t="s">
        <v>189</v>
      </c>
      <c r="G74" s="17" t="s">
        <v>47</v>
      </c>
      <c r="H74" s="19">
        <v>3</v>
      </c>
      <c r="I74" s="19">
        <v>199.99</v>
      </c>
      <c r="J74" s="17" t="s">
        <v>21</v>
      </c>
      <c r="K74" s="17" t="s">
        <v>41</v>
      </c>
      <c r="L74" s="17" t="s">
        <v>28</v>
      </c>
      <c r="M74" s="18">
        <v>45254</v>
      </c>
      <c r="N74" s="4">
        <v>599.97</v>
      </c>
      <c r="O74" s="9">
        <f t="shared" si="2"/>
        <v>15</v>
      </c>
      <c r="X74" s="9" t="str">
        <f>UPPER(LEFT(D74,1)&amp;MID(D74,FIND(" ",D74)+1,1))</f>
        <v>KH</v>
      </c>
    </row>
    <row r="75" spans="1:24" ht="15.75" customHeight="1" thickBot="1" x14ac:dyDescent="0.4">
      <c r="A75" s="17" t="s">
        <v>262</v>
      </c>
      <c r="B75" s="18">
        <v>45496</v>
      </c>
      <c r="C75" s="17" t="s">
        <v>212</v>
      </c>
      <c r="D75" s="17" t="s">
        <v>213</v>
      </c>
      <c r="E75" s="17" t="s">
        <v>62</v>
      </c>
      <c r="F75" s="17" t="s">
        <v>63</v>
      </c>
      <c r="G75" s="17" t="s">
        <v>20</v>
      </c>
      <c r="H75" s="19">
        <v>1</v>
      </c>
      <c r="I75" s="19">
        <v>899.99</v>
      </c>
      <c r="J75" s="17" t="s">
        <v>21</v>
      </c>
      <c r="K75" s="17" t="s">
        <v>22</v>
      </c>
      <c r="L75" s="17" t="s">
        <v>37</v>
      </c>
      <c r="M75" s="18">
        <v>45179</v>
      </c>
      <c r="N75" s="4">
        <v>899.99</v>
      </c>
      <c r="O75" s="9">
        <f t="shared" si="2"/>
        <v>24</v>
      </c>
      <c r="X75" s="9" t="str">
        <f>UPPER(LEFT(D75,1)&amp;MID(D75,FIND(" ",D75)+1,1))</f>
        <v>SB</v>
      </c>
    </row>
    <row r="76" spans="1:24" ht="15.75" customHeight="1" thickBot="1" x14ac:dyDescent="0.4">
      <c r="A76" s="17" t="s">
        <v>263</v>
      </c>
      <c r="B76" s="18">
        <v>45497</v>
      </c>
      <c r="C76" s="17" t="s">
        <v>25</v>
      </c>
      <c r="D76" s="17" t="s">
        <v>26</v>
      </c>
      <c r="E76" s="17" t="s">
        <v>62</v>
      </c>
      <c r="F76" s="17" t="s">
        <v>63</v>
      </c>
      <c r="G76" s="17" t="s">
        <v>20</v>
      </c>
      <c r="H76" s="19">
        <v>5</v>
      </c>
      <c r="I76" s="19">
        <v>899.99</v>
      </c>
      <c r="J76" s="17" t="s">
        <v>58</v>
      </c>
      <c r="K76" s="17" t="s">
        <v>36</v>
      </c>
      <c r="L76" s="17" t="s">
        <v>37</v>
      </c>
      <c r="M76" s="18">
        <v>44899</v>
      </c>
      <c r="N76" s="4">
        <v>4499.95</v>
      </c>
      <c r="O76" s="9">
        <f t="shared" si="2"/>
        <v>24</v>
      </c>
      <c r="X76" s="9" t="str">
        <f>UPPER(LEFT(D76,1)&amp;MID(D76,FIND(" ",D76)+1,1))</f>
        <v>JJ</v>
      </c>
    </row>
    <row r="77" spans="1:24" ht="15.75" customHeight="1" thickBot="1" x14ac:dyDescent="0.4">
      <c r="A77" s="17" t="s">
        <v>264</v>
      </c>
      <c r="B77" s="18">
        <v>45498</v>
      </c>
      <c r="C77" s="17" t="s">
        <v>244</v>
      </c>
      <c r="D77" s="17" t="s">
        <v>245</v>
      </c>
      <c r="E77" s="17" t="s">
        <v>32</v>
      </c>
      <c r="F77" s="17" t="s">
        <v>33</v>
      </c>
      <c r="G77" s="17" t="s">
        <v>34</v>
      </c>
      <c r="H77" s="19">
        <v>2</v>
      </c>
      <c r="I77" s="19">
        <v>59.99</v>
      </c>
      <c r="J77" s="17" t="s">
        <v>21</v>
      </c>
      <c r="K77" s="17" t="s">
        <v>41</v>
      </c>
      <c r="L77" s="17" t="s">
        <v>37</v>
      </c>
      <c r="M77" s="18">
        <v>45152</v>
      </c>
      <c r="N77" s="4">
        <v>119.98</v>
      </c>
      <c r="O77" s="9">
        <f t="shared" si="2"/>
        <v>29</v>
      </c>
      <c r="X77" s="9" t="str">
        <f>UPPER(LEFT(D77,1)&amp;MID(D77,FIND(" ",D77)+1,1))</f>
        <v>DM</v>
      </c>
    </row>
    <row r="78" spans="1:24" ht="15.75" customHeight="1" thickBot="1" x14ac:dyDescent="0.4">
      <c r="A78" s="17" t="s">
        <v>265</v>
      </c>
      <c r="B78" s="18">
        <v>45498</v>
      </c>
      <c r="C78" s="17" t="s">
        <v>258</v>
      </c>
      <c r="D78" s="17" t="s">
        <v>259</v>
      </c>
      <c r="E78" s="17" t="s">
        <v>18</v>
      </c>
      <c r="F78" s="17" t="s">
        <v>19</v>
      </c>
      <c r="G78" s="17" t="s">
        <v>20</v>
      </c>
      <c r="H78" s="19">
        <v>4</v>
      </c>
      <c r="I78" s="19">
        <v>249.99</v>
      </c>
      <c r="J78" s="17" t="s">
        <v>58</v>
      </c>
      <c r="K78" s="17" t="s">
        <v>22</v>
      </c>
      <c r="L78" s="17" t="s">
        <v>37</v>
      </c>
      <c r="M78" s="18">
        <v>45127</v>
      </c>
      <c r="N78" s="4">
        <v>999.96</v>
      </c>
      <c r="O78" s="9">
        <f t="shared" si="2"/>
        <v>26</v>
      </c>
      <c r="X78" s="9" t="str">
        <f>UPPER(LEFT(D78,1)&amp;MID(D78,FIND(" ",D78)+1,1))</f>
        <v>GM</v>
      </c>
    </row>
    <row r="79" spans="1:24" ht="15.75" customHeight="1" thickBot="1" x14ac:dyDescent="0.4">
      <c r="A79" s="17" t="s">
        <v>266</v>
      </c>
      <c r="B79" s="18">
        <v>45500</v>
      </c>
      <c r="C79" s="17" t="s">
        <v>158</v>
      </c>
      <c r="D79" s="17" t="s">
        <v>159</v>
      </c>
      <c r="E79" s="17" t="s">
        <v>18</v>
      </c>
      <c r="F79" s="17" t="s">
        <v>19</v>
      </c>
      <c r="G79" s="17" t="s">
        <v>20</v>
      </c>
      <c r="H79" s="19">
        <v>2</v>
      </c>
      <c r="I79" s="19">
        <v>249.99</v>
      </c>
      <c r="J79" s="17" t="s">
        <v>21</v>
      </c>
      <c r="K79" s="17" t="s">
        <v>41</v>
      </c>
      <c r="L79" s="17" t="s">
        <v>28</v>
      </c>
      <c r="M79" s="18">
        <v>45164</v>
      </c>
      <c r="N79" s="4">
        <v>499.98</v>
      </c>
      <c r="O79" s="9">
        <f t="shared" si="2"/>
        <v>26</v>
      </c>
      <c r="X79" s="9" t="str">
        <f>UPPER(LEFT(D79,1)&amp;MID(D79,FIND(" ",D79)+1,1))</f>
        <v>BY</v>
      </c>
    </row>
    <row r="80" spans="1:24" ht="15.75" customHeight="1" thickBot="1" x14ac:dyDescent="0.4">
      <c r="A80" s="17" t="s">
        <v>267</v>
      </c>
      <c r="B80" s="18">
        <v>45500</v>
      </c>
      <c r="C80" s="17" t="s">
        <v>209</v>
      </c>
      <c r="D80" s="17" t="s">
        <v>210</v>
      </c>
      <c r="E80" s="17" t="s">
        <v>167</v>
      </c>
      <c r="F80" s="17" t="s">
        <v>168</v>
      </c>
      <c r="G80" s="17" t="s">
        <v>47</v>
      </c>
      <c r="H80" s="19">
        <v>1</v>
      </c>
      <c r="I80" s="19">
        <v>299.99</v>
      </c>
      <c r="J80" s="17" t="s">
        <v>21</v>
      </c>
      <c r="K80" s="17" t="s">
        <v>36</v>
      </c>
      <c r="L80" s="17" t="s">
        <v>23</v>
      </c>
      <c r="M80" s="18">
        <v>44982</v>
      </c>
      <c r="N80" s="4">
        <v>299.99</v>
      </c>
      <c r="O80" s="9">
        <f t="shared" si="2"/>
        <v>26</v>
      </c>
      <c r="X80" s="9" t="str">
        <f>UPPER(LEFT(D80,1)&amp;MID(D80,FIND(" ",D80)+1,1))</f>
        <v>DK</v>
      </c>
    </row>
    <row r="81" spans="1:24" ht="15.75" customHeight="1" thickBot="1" x14ac:dyDescent="0.4">
      <c r="A81" s="17" t="s">
        <v>268</v>
      </c>
      <c r="B81" s="18">
        <v>45501</v>
      </c>
      <c r="C81" s="17" t="s">
        <v>148</v>
      </c>
      <c r="D81" s="17" t="s">
        <v>149</v>
      </c>
      <c r="E81" s="17" t="s">
        <v>179</v>
      </c>
      <c r="F81" s="17" t="s">
        <v>180</v>
      </c>
      <c r="G81" s="17" t="s">
        <v>20</v>
      </c>
      <c r="H81" s="19">
        <v>2</v>
      </c>
      <c r="I81" s="19">
        <v>89.99</v>
      </c>
      <c r="J81" s="17" t="s">
        <v>35</v>
      </c>
      <c r="K81" s="17" t="s">
        <v>36</v>
      </c>
      <c r="L81" s="17" t="s">
        <v>23</v>
      </c>
      <c r="M81" s="18">
        <v>44976</v>
      </c>
      <c r="N81" s="4">
        <v>179.98</v>
      </c>
      <c r="O81" s="9">
        <f t="shared" si="2"/>
        <v>34</v>
      </c>
      <c r="X81" s="9" t="str">
        <f>UPPER(LEFT(D81,1)&amp;MID(D81,FIND(" ",D81)+1,1))</f>
        <v>MC</v>
      </c>
    </row>
    <row r="82" spans="1:24" ht="15.75" customHeight="1" thickBot="1" x14ac:dyDescent="0.4">
      <c r="A82" s="17" t="s">
        <v>269</v>
      </c>
      <c r="B82" s="18">
        <v>45501</v>
      </c>
      <c r="C82" s="17" t="s">
        <v>209</v>
      </c>
      <c r="D82" s="17" t="s">
        <v>210</v>
      </c>
      <c r="E82" s="17" t="s">
        <v>167</v>
      </c>
      <c r="F82" s="17" t="s">
        <v>168</v>
      </c>
      <c r="G82" s="17" t="s">
        <v>47</v>
      </c>
      <c r="H82" s="19">
        <v>3</v>
      </c>
      <c r="I82" s="19">
        <v>299.99</v>
      </c>
      <c r="J82" s="17" t="s">
        <v>21</v>
      </c>
      <c r="K82" s="17" t="s">
        <v>22</v>
      </c>
      <c r="L82" s="17" t="s">
        <v>23</v>
      </c>
      <c r="M82" s="18">
        <v>44732</v>
      </c>
      <c r="N82" s="4">
        <v>899.97</v>
      </c>
      <c r="O82" s="9">
        <f t="shared" si="2"/>
        <v>26</v>
      </c>
      <c r="X82" s="9" t="str">
        <f>UPPER(LEFT(D82,1)&amp;MID(D82,FIND(" ",D82)+1,1))</f>
        <v>DK</v>
      </c>
    </row>
    <row r="83" spans="1:24" ht="15.75" customHeight="1" thickBot="1" x14ac:dyDescent="0.4">
      <c r="A83" s="17" t="s">
        <v>270</v>
      </c>
      <c r="B83" s="18">
        <v>45503</v>
      </c>
      <c r="C83" s="17" t="s">
        <v>148</v>
      </c>
      <c r="D83" s="17" t="s">
        <v>149</v>
      </c>
      <c r="E83" s="17" t="s">
        <v>142</v>
      </c>
      <c r="F83" s="17" t="s">
        <v>143</v>
      </c>
      <c r="G83" s="17" t="s">
        <v>20</v>
      </c>
      <c r="H83" s="19">
        <v>2</v>
      </c>
      <c r="I83" s="19">
        <v>699.99</v>
      </c>
      <c r="J83" s="17" t="s">
        <v>27</v>
      </c>
      <c r="K83" s="17" t="s">
        <v>41</v>
      </c>
      <c r="L83" s="17" t="s">
        <v>28</v>
      </c>
      <c r="M83" s="18">
        <v>44999</v>
      </c>
      <c r="N83" s="4">
        <v>1399.98</v>
      </c>
      <c r="O83" s="9">
        <f t="shared" si="2"/>
        <v>31</v>
      </c>
      <c r="X83" s="9" t="str">
        <f>UPPER(LEFT(D83,1)&amp;MID(D83,FIND(" ",D83)+1,1))</f>
        <v>MC</v>
      </c>
    </row>
    <row r="84" spans="1:24" ht="15.75" customHeight="1" thickBot="1" x14ac:dyDescent="0.4">
      <c r="A84" s="17" t="s">
        <v>271</v>
      </c>
      <c r="B84" s="18">
        <v>45504</v>
      </c>
      <c r="C84" s="17" t="s">
        <v>182</v>
      </c>
      <c r="D84" s="17" t="s">
        <v>183</v>
      </c>
      <c r="E84" s="17" t="s">
        <v>62</v>
      </c>
      <c r="F84" s="17" t="s">
        <v>63</v>
      </c>
      <c r="G84" s="17" t="s">
        <v>20</v>
      </c>
      <c r="H84" s="19">
        <v>4</v>
      </c>
      <c r="I84" s="19">
        <v>899.99</v>
      </c>
      <c r="J84" s="17" t="s">
        <v>58</v>
      </c>
      <c r="K84" s="17" t="s">
        <v>36</v>
      </c>
      <c r="L84" s="17" t="s">
        <v>37</v>
      </c>
      <c r="M84" s="18">
        <v>44523</v>
      </c>
      <c r="N84" s="4">
        <v>3599.96</v>
      </c>
      <c r="O84" s="9">
        <f t="shared" si="2"/>
        <v>24</v>
      </c>
      <c r="X84" s="9" t="str">
        <f>UPPER(LEFT(D84,1)&amp;MID(D84,FIND(" ",D84)+1,1))</f>
        <v>HR</v>
      </c>
    </row>
    <row r="85" spans="1:24" ht="15.75" customHeight="1" thickBot="1" x14ac:dyDescent="0.4">
      <c r="A85" s="17" t="s">
        <v>272</v>
      </c>
      <c r="B85" s="18">
        <v>45509</v>
      </c>
      <c r="C85" s="17" t="s">
        <v>273</v>
      </c>
      <c r="D85" s="17" t="s">
        <v>274</v>
      </c>
      <c r="E85" s="17" t="s">
        <v>45</v>
      </c>
      <c r="F85" s="17" t="s">
        <v>46</v>
      </c>
      <c r="G85" s="17" t="s">
        <v>47</v>
      </c>
      <c r="H85" s="19">
        <v>2</v>
      </c>
      <c r="I85" s="19">
        <v>149.99</v>
      </c>
      <c r="J85" s="17" t="s">
        <v>27</v>
      </c>
      <c r="K85" s="17" t="s">
        <v>51</v>
      </c>
      <c r="L85" s="17" t="s">
        <v>23</v>
      </c>
      <c r="M85" s="18">
        <v>44542</v>
      </c>
      <c r="N85" s="4">
        <v>299.98</v>
      </c>
      <c r="O85" s="9">
        <f t="shared" si="2"/>
        <v>35</v>
      </c>
      <c r="X85" s="9" t="str">
        <f>UPPER(LEFT(D85,1)&amp;MID(D85,FIND(" ",D85)+1,1))</f>
        <v>EH</v>
      </c>
    </row>
    <row r="86" spans="1:24" ht="15.75" customHeight="1" thickBot="1" x14ac:dyDescent="0.4">
      <c r="A86" s="17" t="s">
        <v>275</v>
      </c>
      <c r="B86" s="18">
        <v>45510</v>
      </c>
      <c r="C86" s="17" t="s">
        <v>164</v>
      </c>
      <c r="D86" s="17" t="s">
        <v>165</v>
      </c>
      <c r="E86" s="17" t="s">
        <v>45</v>
      </c>
      <c r="F86" s="17" t="s">
        <v>46</v>
      </c>
      <c r="G86" s="17" t="s">
        <v>47</v>
      </c>
      <c r="H86" s="19">
        <v>2</v>
      </c>
      <c r="I86" s="19">
        <v>149.99</v>
      </c>
      <c r="J86" s="17" t="s">
        <v>58</v>
      </c>
      <c r="K86" s="17" t="s">
        <v>64</v>
      </c>
      <c r="L86" s="17" t="s">
        <v>37</v>
      </c>
      <c r="M86" s="18">
        <v>44667</v>
      </c>
      <c r="N86" s="4">
        <v>299.98</v>
      </c>
      <c r="O86" s="9">
        <f t="shared" si="2"/>
        <v>35</v>
      </c>
      <c r="X86" s="9" t="str">
        <f>UPPER(LEFT(D86,1)&amp;MID(D86,FIND(" ",D86)+1,1))</f>
        <v>CP</v>
      </c>
    </row>
    <row r="87" spans="1:24" ht="15.75" customHeight="1" thickBot="1" x14ac:dyDescent="0.4">
      <c r="A87" s="17" t="s">
        <v>276</v>
      </c>
      <c r="B87" s="18">
        <v>45513</v>
      </c>
      <c r="C87" s="17" t="s">
        <v>151</v>
      </c>
      <c r="D87" s="17" t="s">
        <v>152</v>
      </c>
      <c r="E87" s="17" t="s">
        <v>179</v>
      </c>
      <c r="F87" s="17" t="s">
        <v>180</v>
      </c>
      <c r="G87" s="17" t="s">
        <v>20</v>
      </c>
      <c r="H87" s="19">
        <v>1</v>
      </c>
      <c r="I87" s="19">
        <v>89.99</v>
      </c>
      <c r="J87" s="17" t="s">
        <v>27</v>
      </c>
      <c r="K87" s="17" t="s">
        <v>41</v>
      </c>
      <c r="L87" s="17" t="s">
        <v>37</v>
      </c>
      <c r="M87" s="18">
        <v>45393</v>
      </c>
      <c r="N87" s="4">
        <v>89.99</v>
      </c>
      <c r="O87" s="9">
        <f t="shared" si="2"/>
        <v>34</v>
      </c>
      <c r="X87" s="9" t="str">
        <f>UPPER(LEFT(D87,1)&amp;MID(D87,FIND(" ",D87)+1,1))</f>
        <v>MG</v>
      </c>
    </row>
    <row r="88" spans="1:24" ht="15.75" customHeight="1" thickBot="1" x14ac:dyDescent="0.4">
      <c r="A88" s="17" t="s">
        <v>277</v>
      </c>
      <c r="B88" s="18">
        <v>45515</v>
      </c>
      <c r="C88" s="17" t="s">
        <v>148</v>
      </c>
      <c r="D88" s="17" t="s">
        <v>149</v>
      </c>
      <c r="E88" s="17" t="s">
        <v>167</v>
      </c>
      <c r="F88" s="17" t="s">
        <v>168</v>
      </c>
      <c r="G88" s="17" t="s">
        <v>47</v>
      </c>
      <c r="H88" s="19">
        <v>5</v>
      </c>
      <c r="I88" s="19">
        <v>299.99</v>
      </c>
      <c r="J88" s="17" t="s">
        <v>27</v>
      </c>
      <c r="K88" s="17" t="s">
        <v>41</v>
      </c>
      <c r="L88" s="17" t="s">
        <v>23</v>
      </c>
      <c r="M88" s="18">
        <v>44965</v>
      </c>
      <c r="N88" s="4">
        <v>1499.95</v>
      </c>
      <c r="O88" s="9">
        <f t="shared" si="2"/>
        <v>26</v>
      </c>
      <c r="X88" s="9" t="str">
        <f>UPPER(LEFT(D88,1)&amp;MID(D88,FIND(" ",D88)+1,1))</f>
        <v>MC</v>
      </c>
    </row>
    <row r="89" spans="1:24" ht="15.75" customHeight="1" thickBot="1" x14ac:dyDescent="0.4">
      <c r="A89" s="17" t="s">
        <v>278</v>
      </c>
      <c r="B89" s="18">
        <v>45517</v>
      </c>
      <c r="C89" s="17" t="s">
        <v>244</v>
      </c>
      <c r="D89" s="17" t="s">
        <v>245</v>
      </c>
      <c r="E89" s="17" t="s">
        <v>53</v>
      </c>
      <c r="F89" s="17" t="s">
        <v>54</v>
      </c>
      <c r="G89" s="17" t="s">
        <v>20</v>
      </c>
      <c r="H89" s="19">
        <v>4</v>
      </c>
      <c r="I89" s="19">
        <v>149.99</v>
      </c>
      <c r="J89" s="17" t="s">
        <v>58</v>
      </c>
      <c r="K89" s="17" t="s">
        <v>36</v>
      </c>
      <c r="L89" s="17" t="s">
        <v>28</v>
      </c>
      <c r="M89" s="18">
        <v>44820</v>
      </c>
      <c r="N89" s="4">
        <v>599.96</v>
      </c>
      <c r="O89" s="9">
        <f t="shared" si="2"/>
        <v>16</v>
      </c>
      <c r="X89" s="9" t="str">
        <f>UPPER(LEFT(D89,1)&amp;MID(D89,FIND(" ",D89)+1,1))</f>
        <v>DM</v>
      </c>
    </row>
    <row r="90" spans="1:24" ht="15.75" customHeight="1" thickBot="1" x14ac:dyDescent="0.4">
      <c r="A90" s="17" t="s">
        <v>279</v>
      </c>
      <c r="B90" s="18">
        <v>45517</v>
      </c>
      <c r="C90" s="17" t="s">
        <v>247</v>
      </c>
      <c r="D90" s="17" t="s">
        <v>248</v>
      </c>
      <c r="E90" s="17" t="s">
        <v>18</v>
      </c>
      <c r="F90" s="17" t="s">
        <v>19</v>
      </c>
      <c r="G90" s="17" t="s">
        <v>20</v>
      </c>
      <c r="H90" s="19">
        <v>5</v>
      </c>
      <c r="I90" s="19">
        <v>249.99</v>
      </c>
      <c r="J90" s="17" t="s">
        <v>35</v>
      </c>
      <c r="K90" s="17" t="s">
        <v>64</v>
      </c>
      <c r="L90" s="17" t="s">
        <v>28</v>
      </c>
      <c r="M90" s="18">
        <v>44782</v>
      </c>
      <c r="N90" s="4">
        <v>1249.95</v>
      </c>
      <c r="O90" s="9">
        <f t="shared" si="2"/>
        <v>26</v>
      </c>
      <c r="X90" s="9" t="str">
        <f>UPPER(LEFT(D90,1)&amp;MID(D90,FIND(" ",D90)+1,1))</f>
        <v>MW</v>
      </c>
    </row>
    <row r="91" spans="1:24" ht="15.75" customHeight="1" thickBot="1" x14ac:dyDescent="0.4">
      <c r="A91" s="17" t="s">
        <v>280</v>
      </c>
      <c r="B91" s="18">
        <v>45517</v>
      </c>
      <c r="C91" s="17" t="s">
        <v>127</v>
      </c>
      <c r="D91" s="17" t="s">
        <v>128</v>
      </c>
      <c r="E91" s="17" t="s">
        <v>18</v>
      </c>
      <c r="F91" s="17" t="s">
        <v>19</v>
      </c>
      <c r="G91" s="17" t="s">
        <v>20</v>
      </c>
      <c r="H91" s="19">
        <v>3</v>
      </c>
      <c r="I91" s="19">
        <v>249.99</v>
      </c>
      <c r="J91" s="17" t="s">
        <v>35</v>
      </c>
      <c r="K91" s="17" t="s">
        <v>41</v>
      </c>
      <c r="L91" s="17" t="s">
        <v>28</v>
      </c>
      <c r="M91" s="18">
        <v>44465</v>
      </c>
      <c r="N91" s="4">
        <v>749.97</v>
      </c>
      <c r="O91" s="9">
        <f t="shared" si="2"/>
        <v>26</v>
      </c>
      <c r="X91" s="9" t="str">
        <f>UPPER(LEFT(D91,1)&amp;MID(D91,FIND(" ",D91)+1,1))</f>
        <v>KH</v>
      </c>
    </row>
    <row r="92" spans="1:24" ht="15.75" customHeight="1" thickBot="1" x14ac:dyDescent="0.4">
      <c r="A92" s="17" t="s">
        <v>281</v>
      </c>
      <c r="B92" s="18">
        <v>45517</v>
      </c>
      <c r="C92" s="17" t="s">
        <v>39</v>
      </c>
      <c r="D92" s="17" t="s">
        <v>40</v>
      </c>
      <c r="E92" s="17" t="s">
        <v>188</v>
      </c>
      <c r="F92" s="17" t="s">
        <v>189</v>
      </c>
      <c r="G92" s="17" t="s">
        <v>47</v>
      </c>
      <c r="H92" s="19">
        <v>4</v>
      </c>
      <c r="I92" s="19">
        <v>199.99</v>
      </c>
      <c r="J92" s="17" t="s">
        <v>21</v>
      </c>
      <c r="K92" s="17" t="s">
        <v>41</v>
      </c>
      <c r="L92" s="17" t="s">
        <v>37</v>
      </c>
      <c r="M92" s="18">
        <v>44458</v>
      </c>
      <c r="N92" s="4">
        <v>799.96</v>
      </c>
      <c r="O92" s="9">
        <f t="shared" si="2"/>
        <v>15</v>
      </c>
      <c r="X92" s="9" t="str">
        <f>UPPER(LEFT(D92,1)&amp;MID(D92,FIND(" ",D92)+1,1))</f>
        <v>KB</v>
      </c>
    </row>
    <row r="93" spans="1:24" ht="15.75" customHeight="1" thickBot="1" x14ac:dyDescent="0.4">
      <c r="A93" s="17" t="s">
        <v>282</v>
      </c>
      <c r="B93" s="18">
        <v>45519</v>
      </c>
      <c r="C93" s="17" t="s">
        <v>220</v>
      </c>
      <c r="D93" s="17" t="s">
        <v>221</v>
      </c>
      <c r="E93" s="17" t="s">
        <v>188</v>
      </c>
      <c r="F93" s="17" t="s">
        <v>189</v>
      </c>
      <c r="G93" s="17" t="s">
        <v>47</v>
      </c>
      <c r="H93" s="19">
        <v>5</v>
      </c>
      <c r="I93" s="19">
        <v>199.99</v>
      </c>
      <c r="J93" s="17" t="s">
        <v>21</v>
      </c>
      <c r="K93" s="17" t="s">
        <v>41</v>
      </c>
      <c r="L93" s="17" t="s">
        <v>28</v>
      </c>
      <c r="M93" s="18">
        <v>44991</v>
      </c>
      <c r="N93" s="4">
        <v>999.95</v>
      </c>
      <c r="O93" s="9">
        <f t="shared" si="2"/>
        <v>15</v>
      </c>
      <c r="X93" s="9" t="str">
        <f>UPPER(LEFT(D93,1)&amp;MID(D93,FIND(" ",D93)+1,1))</f>
        <v>BC</v>
      </c>
    </row>
    <row r="94" spans="1:24" ht="15.75" customHeight="1" thickBot="1" x14ac:dyDescent="0.4">
      <c r="A94" s="17" t="s">
        <v>283</v>
      </c>
      <c r="B94" s="18">
        <v>45522</v>
      </c>
      <c r="C94" s="17" t="s">
        <v>148</v>
      </c>
      <c r="D94" s="17" t="s">
        <v>149</v>
      </c>
      <c r="E94" s="17" t="s">
        <v>179</v>
      </c>
      <c r="F94" s="17" t="s">
        <v>180</v>
      </c>
      <c r="G94" s="17" t="s">
        <v>20</v>
      </c>
      <c r="H94" s="19">
        <v>2</v>
      </c>
      <c r="I94" s="19">
        <v>89.99</v>
      </c>
      <c r="J94" s="17" t="s">
        <v>21</v>
      </c>
      <c r="K94" s="17" t="s">
        <v>64</v>
      </c>
      <c r="L94" s="17" t="s">
        <v>28</v>
      </c>
      <c r="M94" s="18">
        <v>44972</v>
      </c>
      <c r="N94" s="4">
        <v>179.98</v>
      </c>
      <c r="O94" s="9">
        <f t="shared" si="2"/>
        <v>34</v>
      </c>
      <c r="X94" s="9" t="str">
        <f>UPPER(LEFT(D94,1)&amp;MID(D94,FIND(" ",D94)+1,1))</f>
        <v>MC</v>
      </c>
    </row>
    <row r="95" spans="1:24" ht="15.75" customHeight="1" thickBot="1" x14ac:dyDescent="0.4">
      <c r="A95" s="17" t="s">
        <v>284</v>
      </c>
      <c r="B95" s="18">
        <v>45523</v>
      </c>
      <c r="C95" s="17" t="s">
        <v>258</v>
      </c>
      <c r="D95" s="17" t="s">
        <v>259</v>
      </c>
      <c r="E95" s="17" t="s">
        <v>62</v>
      </c>
      <c r="F95" s="17" t="s">
        <v>63</v>
      </c>
      <c r="G95" s="17" t="s">
        <v>20</v>
      </c>
      <c r="H95" s="19">
        <v>5</v>
      </c>
      <c r="I95" s="19">
        <v>899.99</v>
      </c>
      <c r="J95" s="17" t="s">
        <v>58</v>
      </c>
      <c r="K95" s="17" t="s">
        <v>64</v>
      </c>
      <c r="L95" s="17" t="s">
        <v>23</v>
      </c>
      <c r="M95" s="18">
        <v>44526</v>
      </c>
      <c r="N95" s="4">
        <v>4499.95</v>
      </c>
      <c r="O95" s="9">
        <f t="shared" si="2"/>
        <v>24</v>
      </c>
      <c r="X95" s="9" t="str">
        <f>UPPER(LEFT(D95,1)&amp;MID(D95,FIND(" ",D95)+1,1))</f>
        <v>GM</v>
      </c>
    </row>
    <row r="96" spans="1:24" ht="15.75" customHeight="1" thickBot="1" x14ac:dyDescent="0.4">
      <c r="A96" s="17" t="s">
        <v>285</v>
      </c>
      <c r="B96" s="18">
        <v>45523</v>
      </c>
      <c r="C96" s="17" t="s">
        <v>170</v>
      </c>
      <c r="D96" s="17" t="s">
        <v>171</v>
      </c>
      <c r="E96" s="17" t="s">
        <v>53</v>
      </c>
      <c r="F96" s="17" t="s">
        <v>54</v>
      </c>
      <c r="G96" s="17" t="s">
        <v>20</v>
      </c>
      <c r="H96" s="19">
        <v>3</v>
      </c>
      <c r="I96" s="19">
        <v>149.99</v>
      </c>
      <c r="J96" s="17" t="s">
        <v>35</v>
      </c>
      <c r="K96" s="17" t="s">
        <v>64</v>
      </c>
      <c r="L96" s="17" t="s">
        <v>23</v>
      </c>
      <c r="M96" s="18">
        <v>44574</v>
      </c>
      <c r="N96" s="4">
        <v>449.97</v>
      </c>
      <c r="O96" s="9">
        <f t="shared" si="2"/>
        <v>16</v>
      </c>
      <c r="X96" s="9" t="str">
        <f>UPPER(LEFT(D96,1)&amp;MID(D96,FIND(" ",D96)+1,1))</f>
        <v>NC</v>
      </c>
    </row>
    <row r="97" spans="1:24" ht="15.75" customHeight="1" thickBot="1" x14ac:dyDescent="0.4">
      <c r="A97" s="17" t="s">
        <v>286</v>
      </c>
      <c r="B97" s="18">
        <v>45526</v>
      </c>
      <c r="C97" s="17" t="s">
        <v>164</v>
      </c>
      <c r="D97" s="17" t="s">
        <v>165</v>
      </c>
      <c r="E97" s="17" t="s">
        <v>45</v>
      </c>
      <c r="F97" s="17" t="s">
        <v>46</v>
      </c>
      <c r="G97" s="17" t="s">
        <v>47</v>
      </c>
      <c r="H97" s="19">
        <v>5</v>
      </c>
      <c r="I97" s="19">
        <v>149.99</v>
      </c>
      <c r="J97" s="17" t="s">
        <v>27</v>
      </c>
      <c r="K97" s="17" t="s">
        <v>22</v>
      </c>
      <c r="L97" s="17" t="s">
        <v>23</v>
      </c>
      <c r="M97" s="18">
        <v>45310</v>
      </c>
      <c r="N97" s="4">
        <v>749.95</v>
      </c>
      <c r="O97" s="9">
        <f t="shared" si="2"/>
        <v>35</v>
      </c>
      <c r="X97" s="9" t="str">
        <f>UPPER(LEFT(D97,1)&amp;MID(D97,FIND(" ",D97)+1,1))</f>
        <v>CP</v>
      </c>
    </row>
    <row r="98" spans="1:24" ht="15.75" customHeight="1" thickBot="1" x14ac:dyDescent="0.4">
      <c r="A98" s="17" t="s">
        <v>287</v>
      </c>
      <c r="B98" s="18">
        <v>45528</v>
      </c>
      <c r="C98" s="17" t="s">
        <v>288</v>
      </c>
      <c r="D98" s="17" t="s">
        <v>289</v>
      </c>
      <c r="E98" s="17" t="s">
        <v>176</v>
      </c>
      <c r="F98" s="17" t="s">
        <v>177</v>
      </c>
      <c r="G98" s="17" t="s">
        <v>34</v>
      </c>
      <c r="H98" s="19">
        <v>3</v>
      </c>
      <c r="I98" s="19">
        <v>79.989999999999995</v>
      </c>
      <c r="J98" s="17" t="s">
        <v>21</v>
      </c>
      <c r="K98" s="17" t="s">
        <v>22</v>
      </c>
      <c r="L98" s="17" t="s">
        <v>28</v>
      </c>
      <c r="M98" s="18">
        <v>44779</v>
      </c>
      <c r="N98" s="4">
        <v>239.97</v>
      </c>
      <c r="O98" s="9">
        <f t="shared" si="2"/>
        <v>14</v>
      </c>
      <c r="X98" s="9" t="str">
        <f>UPPER(LEFT(D98,1)&amp;MID(D98,FIND(" ",D98)+1,1))</f>
        <v>LR</v>
      </c>
    </row>
    <row r="99" spans="1:24" ht="15.75" customHeight="1" thickBot="1" x14ac:dyDescent="0.4">
      <c r="A99" s="17" t="s">
        <v>290</v>
      </c>
      <c r="B99" s="18">
        <v>45528</v>
      </c>
      <c r="C99" s="17" t="s">
        <v>206</v>
      </c>
      <c r="D99" s="17" t="s">
        <v>207</v>
      </c>
      <c r="E99" s="17" t="s">
        <v>18</v>
      </c>
      <c r="F99" s="17" t="s">
        <v>19</v>
      </c>
      <c r="G99" s="17" t="s">
        <v>20</v>
      </c>
      <c r="H99" s="19">
        <v>2</v>
      </c>
      <c r="I99" s="19">
        <v>249.99</v>
      </c>
      <c r="J99" s="17" t="s">
        <v>21</v>
      </c>
      <c r="K99" s="17" t="s">
        <v>36</v>
      </c>
      <c r="L99" s="17" t="s">
        <v>37</v>
      </c>
      <c r="M99" s="18">
        <v>44572</v>
      </c>
      <c r="N99" s="4">
        <v>499.98</v>
      </c>
      <c r="O99" s="9">
        <f t="shared" si="2"/>
        <v>26</v>
      </c>
      <c r="X99" s="9" t="str">
        <f>UPPER(LEFT(D99,1)&amp;MID(D99,FIND(" ",D99)+1,1))</f>
        <v>HM</v>
      </c>
    </row>
    <row r="100" spans="1:24" ht="15.75" customHeight="1" thickBot="1" x14ac:dyDescent="0.4">
      <c r="A100" s="17" t="s">
        <v>291</v>
      </c>
      <c r="B100" s="18">
        <v>45532</v>
      </c>
      <c r="C100" s="17" t="s">
        <v>258</v>
      </c>
      <c r="D100" s="17" t="s">
        <v>259</v>
      </c>
      <c r="E100" s="17" t="s">
        <v>142</v>
      </c>
      <c r="F100" s="17" t="s">
        <v>143</v>
      </c>
      <c r="G100" s="17" t="s">
        <v>20</v>
      </c>
      <c r="H100" s="19">
        <v>1</v>
      </c>
      <c r="I100" s="19">
        <v>699.99</v>
      </c>
      <c r="J100" s="17" t="s">
        <v>21</v>
      </c>
      <c r="K100" s="17" t="s">
        <v>22</v>
      </c>
      <c r="L100" s="17" t="s">
        <v>28</v>
      </c>
      <c r="M100" s="18">
        <v>44497</v>
      </c>
      <c r="N100" s="4">
        <v>699.99</v>
      </c>
      <c r="O100" s="9">
        <f t="shared" si="2"/>
        <v>31</v>
      </c>
      <c r="X100" s="9" t="str">
        <f>UPPER(LEFT(D100,1)&amp;MID(D100,FIND(" ",D100)+1,1))</f>
        <v>GM</v>
      </c>
    </row>
    <row r="101" spans="1:24" ht="15.75" customHeight="1" thickBot="1" x14ac:dyDescent="0.4">
      <c r="A101" s="17" t="s">
        <v>292</v>
      </c>
      <c r="B101" s="18">
        <v>45532</v>
      </c>
      <c r="C101" s="17" t="s">
        <v>293</v>
      </c>
      <c r="D101" s="17" t="s">
        <v>294</v>
      </c>
      <c r="E101" s="17" t="s">
        <v>53</v>
      </c>
      <c r="F101" s="17" t="s">
        <v>54</v>
      </c>
      <c r="G101" s="17" t="s">
        <v>20</v>
      </c>
      <c r="H101" s="19">
        <v>3</v>
      </c>
      <c r="I101" s="19">
        <v>149.99</v>
      </c>
      <c r="J101" s="17" t="s">
        <v>21</v>
      </c>
      <c r="K101" s="17" t="s">
        <v>51</v>
      </c>
      <c r="L101" s="17" t="s">
        <v>28</v>
      </c>
      <c r="M101" s="18">
        <v>45212</v>
      </c>
      <c r="N101" s="4">
        <v>449.97</v>
      </c>
      <c r="O101" s="9">
        <f t="shared" si="2"/>
        <v>16</v>
      </c>
      <c r="X101" s="9" t="str">
        <f>UPPER(LEFT(D101,1)&amp;MID(D101,FIND(" ",D101)+1,1))</f>
        <v>CE</v>
      </c>
    </row>
    <row r="102" spans="1:24" ht="15.75" customHeight="1" thickBot="1" x14ac:dyDescent="0.4">
      <c r="A102" s="17" t="s">
        <v>295</v>
      </c>
      <c r="B102" s="18">
        <v>45534</v>
      </c>
      <c r="C102" s="17" t="s">
        <v>296</v>
      </c>
      <c r="D102" s="17" t="s">
        <v>297</v>
      </c>
      <c r="E102" s="17" t="s">
        <v>142</v>
      </c>
      <c r="F102" s="17" t="s">
        <v>143</v>
      </c>
      <c r="G102" s="17" t="s">
        <v>20</v>
      </c>
      <c r="H102" s="19">
        <v>2</v>
      </c>
      <c r="I102" s="19">
        <v>699.99</v>
      </c>
      <c r="J102" s="17" t="s">
        <v>27</v>
      </c>
      <c r="K102" s="17" t="s">
        <v>41</v>
      </c>
      <c r="L102" s="17" t="s">
        <v>28</v>
      </c>
      <c r="M102" s="18">
        <v>44421</v>
      </c>
      <c r="N102" s="4">
        <v>1399.98</v>
      </c>
      <c r="O102" s="9">
        <f t="shared" si="2"/>
        <v>31</v>
      </c>
      <c r="X102" s="9" t="str">
        <f>UPPER(LEFT(D102,1)&amp;MID(D102,FIND(" ",D102)+1,1))</f>
        <v>SP</v>
      </c>
    </row>
    <row r="103" spans="1:24" ht="15.75" customHeight="1" thickBot="1" x14ac:dyDescent="0.4">
      <c r="A103" s="17" t="s">
        <v>298</v>
      </c>
      <c r="B103" s="18">
        <v>45537</v>
      </c>
      <c r="C103" s="17" t="s">
        <v>293</v>
      </c>
      <c r="D103" s="17" t="s">
        <v>294</v>
      </c>
      <c r="E103" s="17" t="s">
        <v>18</v>
      </c>
      <c r="F103" s="17" t="s">
        <v>19</v>
      </c>
      <c r="G103" s="17" t="s">
        <v>20</v>
      </c>
      <c r="H103" s="19">
        <v>1</v>
      </c>
      <c r="I103" s="19">
        <v>249.99</v>
      </c>
      <c r="J103" s="17" t="s">
        <v>27</v>
      </c>
      <c r="K103" s="17" t="s">
        <v>51</v>
      </c>
      <c r="L103" s="17" t="s">
        <v>28</v>
      </c>
      <c r="M103" s="18">
        <v>44685</v>
      </c>
      <c r="N103" s="4">
        <v>249.99</v>
      </c>
      <c r="O103" s="9">
        <f t="shared" si="2"/>
        <v>26</v>
      </c>
      <c r="X103" s="9" t="str">
        <f>UPPER(LEFT(D103,1)&amp;MID(D103,FIND(" ",D103)+1,1))</f>
        <v>CE</v>
      </c>
    </row>
    <row r="104" spans="1:24" ht="15.75" customHeight="1" thickBot="1" x14ac:dyDescent="0.4">
      <c r="A104" s="17" t="s">
        <v>299</v>
      </c>
      <c r="B104" s="18">
        <v>45537</v>
      </c>
      <c r="C104" s="17" t="s">
        <v>16</v>
      </c>
      <c r="D104" s="17" t="s">
        <v>17</v>
      </c>
      <c r="E104" s="17" t="s">
        <v>18</v>
      </c>
      <c r="F104" s="17" t="s">
        <v>19</v>
      </c>
      <c r="G104" s="17" t="s">
        <v>20</v>
      </c>
      <c r="H104" s="19">
        <v>1</v>
      </c>
      <c r="I104" s="19">
        <v>249.99</v>
      </c>
      <c r="J104" s="17" t="s">
        <v>58</v>
      </c>
      <c r="K104" s="17" t="s">
        <v>41</v>
      </c>
      <c r="L104" s="17" t="s">
        <v>28</v>
      </c>
      <c r="M104" s="18">
        <v>45332</v>
      </c>
      <c r="N104" s="4">
        <v>249.99</v>
      </c>
      <c r="O104" s="9">
        <f t="shared" si="2"/>
        <v>26</v>
      </c>
      <c r="X104" s="9" t="str">
        <f>UPPER(LEFT(D104,1)&amp;MID(D104,FIND(" ",D104)+1,1))</f>
        <v>PB</v>
      </c>
    </row>
    <row r="105" spans="1:24" ht="15.75" customHeight="1" thickBot="1" x14ac:dyDescent="0.4">
      <c r="A105" s="17" t="s">
        <v>300</v>
      </c>
      <c r="B105" s="18">
        <v>45538</v>
      </c>
      <c r="C105" s="17" t="s">
        <v>288</v>
      </c>
      <c r="D105" s="17" t="s">
        <v>289</v>
      </c>
      <c r="E105" s="17" t="s">
        <v>142</v>
      </c>
      <c r="F105" s="17" t="s">
        <v>143</v>
      </c>
      <c r="G105" s="17" t="s">
        <v>20</v>
      </c>
      <c r="H105" s="19">
        <v>2</v>
      </c>
      <c r="I105" s="19">
        <v>699.99</v>
      </c>
      <c r="J105" s="17" t="s">
        <v>58</v>
      </c>
      <c r="K105" s="17" t="s">
        <v>22</v>
      </c>
      <c r="L105" s="17" t="s">
        <v>28</v>
      </c>
      <c r="M105" s="18">
        <v>44870</v>
      </c>
      <c r="N105" s="4">
        <v>1399.98</v>
      </c>
      <c r="O105" s="9">
        <f t="shared" si="2"/>
        <v>31</v>
      </c>
      <c r="X105" s="9" t="str">
        <f>UPPER(LEFT(D105,1)&amp;MID(D105,FIND(" ",D105)+1,1))</f>
        <v>LR</v>
      </c>
    </row>
    <row r="106" spans="1:24" ht="15.75" customHeight="1" thickBot="1" x14ac:dyDescent="0.4">
      <c r="A106" s="17" t="s">
        <v>301</v>
      </c>
      <c r="B106" s="18">
        <v>45541</v>
      </c>
      <c r="C106" s="17" t="s">
        <v>200</v>
      </c>
      <c r="D106" s="17" t="s">
        <v>201</v>
      </c>
      <c r="E106" s="17" t="s">
        <v>32</v>
      </c>
      <c r="F106" s="17" t="s">
        <v>33</v>
      </c>
      <c r="G106" s="17" t="s">
        <v>34</v>
      </c>
      <c r="H106" s="19">
        <v>3</v>
      </c>
      <c r="I106" s="19">
        <v>59.99</v>
      </c>
      <c r="J106" s="17" t="s">
        <v>27</v>
      </c>
      <c r="K106" s="17" t="s">
        <v>22</v>
      </c>
      <c r="L106" s="17" t="s">
        <v>28</v>
      </c>
      <c r="M106" s="18">
        <v>44717</v>
      </c>
      <c r="N106" s="4">
        <v>179.97</v>
      </c>
      <c r="O106" s="9">
        <f t="shared" si="2"/>
        <v>29</v>
      </c>
      <c r="X106" s="9" t="str">
        <f>UPPER(LEFT(D106,1)&amp;MID(D106,FIND(" ",D106)+1,1))</f>
        <v>ST</v>
      </c>
    </row>
    <row r="107" spans="1:24" ht="15.75" customHeight="1" thickBot="1" x14ac:dyDescent="0.4">
      <c r="A107" s="17" t="s">
        <v>302</v>
      </c>
      <c r="B107" s="18">
        <v>45544</v>
      </c>
      <c r="C107" s="17" t="s">
        <v>194</v>
      </c>
      <c r="D107" s="17" t="s">
        <v>195</v>
      </c>
      <c r="E107" s="17" t="s">
        <v>32</v>
      </c>
      <c r="F107" s="17" t="s">
        <v>33</v>
      </c>
      <c r="G107" s="17" t="s">
        <v>34</v>
      </c>
      <c r="H107" s="19">
        <v>3</v>
      </c>
      <c r="I107" s="19">
        <v>59.99</v>
      </c>
      <c r="J107" s="17" t="s">
        <v>35</v>
      </c>
      <c r="K107" s="17" t="s">
        <v>64</v>
      </c>
      <c r="L107" s="17" t="s">
        <v>37</v>
      </c>
      <c r="M107" s="18">
        <v>44748</v>
      </c>
      <c r="N107" s="4">
        <v>179.97</v>
      </c>
      <c r="O107" s="9">
        <f t="shared" si="2"/>
        <v>29</v>
      </c>
      <c r="X107" s="9" t="str">
        <f>UPPER(LEFT(D107,1)&amp;MID(D107,FIND(" ",D107)+1,1))</f>
        <v>EW</v>
      </c>
    </row>
    <row r="108" spans="1:24" ht="15.75" customHeight="1" thickBot="1" x14ac:dyDescent="0.4">
      <c r="A108" s="17" t="s">
        <v>303</v>
      </c>
      <c r="B108" s="18">
        <v>45544</v>
      </c>
      <c r="C108" s="17" t="s">
        <v>203</v>
      </c>
      <c r="D108" s="17" t="s">
        <v>204</v>
      </c>
      <c r="E108" s="17" t="s">
        <v>176</v>
      </c>
      <c r="F108" s="17" t="s">
        <v>177</v>
      </c>
      <c r="G108" s="17" t="s">
        <v>34</v>
      </c>
      <c r="H108" s="19">
        <v>4</v>
      </c>
      <c r="I108" s="19">
        <v>79.989999999999995</v>
      </c>
      <c r="J108" s="17" t="s">
        <v>21</v>
      </c>
      <c r="K108" s="17" t="s">
        <v>41</v>
      </c>
      <c r="L108" s="17" t="s">
        <v>23</v>
      </c>
      <c r="M108" s="18">
        <v>44530</v>
      </c>
      <c r="N108" s="4">
        <v>319.95999999999998</v>
      </c>
      <c r="O108" s="9">
        <f t="shared" si="2"/>
        <v>14</v>
      </c>
      <c r="X108" s="9" t="str">
        <f>UPPER(LEFT(D108,1)&amp;MID(D108,FIND(" ",D108)+1,1))</f>
        <v>JT</v>
      </c>
    </row>
    <row r="109" spans="1:24" ht="15.75" customHeight="1" thickBot="1" x14ac:dyDescent="0.4">
      <c r="A109" s="17" t="s">
        <v>304</v>
      </c>
      <c r="B109" s="18">
        <v>45545</v>
      </c>
      <c r="C109" s="17" t="s">
        <v>56</v>
      </c>
      <c r="D109" s="17" t="s">
        <v>57</v>
      </c>
      <c r="E109" s="17" t="s">
        <v>176</v>
      </c>
      <c r="F109" s="17" t="s">
        <v>177</v>
      </c>
      <c r="G109" s="17" t="s">
        <v>34</v>
      </c>
      <c r="H109" s="19">
        <v>1</v>
      </c>
      <c r="I109" s="19">
        <v>79.989999999999995</v>
      </c>
      <c r="J109" s="17" t="s">
        <v>21</v>
      </c>
      <c r="K109" s="17" t="s">
        <v>51</v>
      </c>
      <c r="L109" s="17" t="s">
        <v>23</v>
      </c>
      <c r="M109" s="18">
        <v>44693</v>
      </c>
      <c r="N109" s="4">
        <v>79.989999999999995</v>
      </c>
      <c r="O109" s="9">
        <f t="shared" si="2"/>
        <v>14</v>
      </c>
      <c r="X109" s="9" t="str">
        <f>UPPER(LEFT(D109,1)&amp;MID(D109,FIND(" ",D109)+1,1))</f>
        <v>CA</v>
      </c>
    </row>
    <row r="110" spans="1:24" ht="15.75" customHeight="1" thickBot="1" x14ac:dyDescent="0.4">
      <c r="A110" s="17" t="s">
        <v>305</v>
      </c>
      <c r="B110" s="18">
        <v>45547</v>
      </c>
      <c r="C110" s="17" t="s">
        <v>49</v>
      </c>
      <c r="D110" s="17" t="s">
        <v>50</v>
      </c>
      <c r="E110" s="17" t="s">
        <v>167</v>
      </c>
      <c r="F110" s="17" t="s">
        <v>168</v>
      </c>
      <c r="G110" s="17" t="s">
        <v>47</v>
      </c>
      <c r="H110" s="19">
        <v>3</v>
      </c>
      <c r="I110" s="19">
        <v>299.99</v>
      </c>
      <c r="J110" s="17" t="s">
        <v>27</v>
      </c>
      <c r="K110" s="17" t="s">
        <v>22</v>
      </c>
      <c r="L110" s="17" t="s">
        <v>28</v>
      </c>
      <c r="M110" s="18">
        <v>44494</v>
      </c>
      <c r="N110" s="4">
        <v>899.97</v>
      </c>
      <c r="O110" s="9">
        <f t="shared" si="2"/>
        <v>26</v>
      </c>
      <c r="X110" s="9" t="str">
        <f>UPPER(LEFT(D110,1)&amp;MID(D110,FIND(" ",D110)+1,1))</f>
        <v>DN</v>
      </c>
    </row>
    <row r="111" spans="1:24" ht="15.75" customHeight="1" thickBot="1" x14ac:dyDescent="0.4">
      <c r="A111" s="17" t="s">
        <v>306</v>
      </c>
      <c r="B111" s="18">
        <v>45548</v>
      </c>
      <c r="C111" s="17" t="s">
        <v>39</v>
      </c>
      <c r="D111" s="17" t="s">
        <v>40</v>
      </c>
      <c r="E111" s="17" t="s">
        <v>179</v>
      </c>
      <c r="F111" s="17" t="s">
        <v>180</v>
      </c>
      <c r="G111" s="17" t="s">
        <v>20</v>
      </c>
      <c r="H111" s="19">
        <v>2</v>
      </c>
      <c r="I111" s="19">
        <v>89.99</v>
      </c>
      <c r="J111" s="17" t="s">
        <v>27</v>
      </c>
      <c r="K111" s="17" t="s">
        <v>36</v>
      </c>
      <c r="L111" s="17" t="s">
        <v>28</v>
      </c>
      <c r="M111" s="18">
        <v>44641</v>
      </c>
      <c r="N111" s="4">
        <v>179.98</v>
      </c>
      <c r="O111" s="9">
        <f t="shared" si="2"/>
        <v>34</v>
      </c>
      <c r="X111" s="9" t="str">
        <f>UPPER(LEFT(D111,1)&amp;MID(D111,FIND(" ",D111)+1,1))</f>
        <v>KB</v>
      </c>
    </row>
    <row r="112" spans="1:24" ht="15.75" customHeight="1" thickBot="1" x14ac:dyDescent="0.4">
      <c r="A112" s="17" t="s">
        <v>307</v>
      </c>
      <c r="B112" s="18">
        <v>45550</v>
      </c>
      <c r="C112" s="17" t="s">
        <v>308</v>
      </c>
      <c r="D112" s="17" t="s">
        <v>309</v>
      </c>
      <c r="E112" s="17" t="s">
        <v>53</v>
      </c>
      <c r="F112" s="17" t="s">
        <v>54</v>
      </c>
      <c r="G112" s="17" t="s">
        <v>20</v>
      </c>
      <c r="H112" s="19">
        <v>4</v>
      </c>
      <c r="I112" s="19">
        <v>149.99</v>
      </c>
      <c r="J112" s="17" t="s">
        <v>21</v>
      </c>
      <c r="K112" s="17" t="s">
        <v>41</v>
      </c>
      <c r="L112" s="17" t="s">
        <v>23</v>
      </c>
      <c r="M112" s="18">
        <v>44909</v>
      </c>
      <c r="N112" s="4">
        <v>599.96</v>
      </c>
      <c r="O112" s="9">
        <f t="shared" si="2"/>
        <v>16</v>
      </c>
      <c r="X112" s="9" t="str">
        <f>UPPER(LEFT(D112,1)&amp;MID(D112,FIND(" ",D112)+1,1))</f>
        <v>RB</v>
      </c>
    </row>
    <row r="113" spans="1:24" ht="15.75" customHeight="1" thickBot="1" x14ac:dyDescent="0.4">
      <c r="A113" s="17" t="s">
        <v>310</v>
      </c>
      <c r="B113" s="18">
        <v>45551</v>
      </c>
      <c r="C113" s="17" t="s">
        <v>127</v>
      </c>
      <c r="D113" s="17" t="s">
        <v>128</v>
      </c>
      <c r="E113" s="17" t="s">
        <v>18</v>
      </c>
      <c r="F113" s="17" t="s">
        <v>19</v>
      </c>
      <c r="G113" s="17" t="s">
        <v>20</v>
      </c>
      <c r="H113" s="19">
        <v>2</v>
      </c>
      <c r="I113" s="19">
        <v>249.99</v>
      </c>
      <c r="J113" s="17" t="s">
        <v>35</v>
      </c>
      <c r="K113" s="17" t="s">
        <v>36</v>
      </c>
      <c r="L113" s="17" t="s">
        <v>23</v>
      </c>
      <c r="M113" s="18">
        <v>44993</v>
      </c>
      <c r="N113" s="4">
        <v>499.98</v>
      </c>
      <c r="O113" s="9">
        <f t="shared" si="2"/>
        <v>26</v>
      </c>
      <c r="X113" s="9" t="str">
        <f>UPPER(LEFT(D113,1)&amp;MID(D113,FIND(" ",D113)+1,1))</f>
        <v>KH</v>
      </c>
    </row>
    <row r="114" spans="1:24" ht="15.75" customHeight="1" thickBot="1" x14ac:dyDescent="0.4">
      <c r="A114" s="17" t="s">
        <v>311</v>
      </c>
      <c r="B114" s="18">
        <v>45551</v>
      </c>
      <c r="C114" s="17" t="s">
        <v>216</v>
      </c>
      <c r="D114" s="17" t="s">
        <v>217</v>
      </c>
      <c r="E114" s="17" t="s">
        <v>188</v>
      </c>
      <c r="F114" s="17" t="s">
        <v>189</v>
      </c>
      <c r="G114" s="17" t="s">
        <v>47</v>
      </c>
      <c r="H114" s="19">
        <v>4</v>
      </c>
      <c r="I114" s="19">
        <v>199.99</v>
      </c>
      <c r="J114" s="17" t="s">
        <v>58</v>
      </c>
      <c r="K114" s="17" t="s">
        <v>64</v>
      </c>
      <c r="L114" s="17" t="s">
        <v>23</v>
      </c>
      <c r="M114" s="18">
        <v>44458</v>
      </c>
      <c r="N114" s="4">
        <v>799.96</v>
      </c>
      <c r="O114" s="9">
        <f t="shared" si="2"/>
        <v>15</v>
      </c>
      <c r="X114" s="9" t="str">
        <f>UPPER(LEFT(D114,1)&amp;MID(D114,FIND(" ",D114)+1,1))</f>
        <v>SD</v>
      </c>
    </row>
    <row r="115" spans="1:24" ht="15.75" customHeight="1" thickBot="1" x14ac:dyDescent="0.4">
      <c r="A115" s="17" t="s">
        <v>312</v>
      </c>
      <c r="B115" s="18">
        <v>45554</v>
      </c>
      <c r="C115" s="17" t="s">
        <v>209</v>
      </c>
      <c r="D115" s="17" t="s">
        <v>210</v>
      </c>
      <c r="E115" s="17" t="s">
        <v>179</v>
      </c>
      <c r="F115" s="17" t="s">
        <v>180</v>
      </c>
      <c r="G115" s="17" t="s">
        <v>20</v>
      </c>
      <c r="H115" s="19">
        <v>5</v>
      </c>
      <c r="I115" s="19">
        <v>89.99</v>
      </c>
      <c r="J115" s="17" t="s">
        <v>27</v>
      </c>
      <c r="K115" s="17" t="s">
        <v>64</v>
      </c>
      <c r="L115" s="17" t="s">
        <v>28</v>
      </c>
      <c r="M115" s="18">
        <v>44446</v>
      </c>
      <c r="N115" s="4">
        <v>449.95</v>
      </c>
      <c r="O115" s="9">
        <f t="shared" si="2"/>
        <v>34</v>
      </c>
      <c r="X115" s="9" t="str">
        <f>UPPER(LEFT(D115,1)&amp;MID(D115,FIND(" ",D115)+1,1))</f>
        <v>DK</v>
      </c>
    </row>
    <row r="116" spans="1:24" ht="15.75" customHeight="1" thickBot="1" x14ac:dyDescent="0.4">
      <c r="A116" s="17" t="s">
        <v>313</v>
      </c>
      <c r="B116" s="18">
        <v>45554</v>
      </c>
      <c r="C116" s="17" t="s">
        <v>314</v>
      </c>
      <c r="D116" s="17" t="s">
        <v>315</v>
      </c>
      <c r="E116" s="17" t="s">
        <v>53</v>
      </c>
      <c r="F116" s="17" t="s">
        <v>54</v>
      </c>
      <c r="G116" s="17" t="s">
        <v>20</v>
      </c>
      <c r="H116" s="19">
        <v>1</v>
      </c>
      <c r="I116" s="19">
        <v>149.99</v>
      </c>
      <c r="J116" s="17" t="s">
        <v>35</v>
      </c>
      <c r="K116" s="17" t="s">
        <v>64</v>
      </c>
      <c r="L116" s="17" t="s">
        <v>37</v>
      </c>
      <c r="M116" s="18">
        <v>44482</v>
      </c>
      <c r="N116" s="4">
        <v>149.99</v>
      </c>
      <c r="O116" s="9">
        <f t="shared" si="2"/>
        <v>16</v>
      </c>
      <c r="X116" s="9" t="str">
        <f>UPPER(LEFT(D116,1)&amp;MID(D116,FIND(" ",D116)+1,1))</f>
        <v>WW</v>
      </c>
    </row>
    <row r="117" spans="1:24" ht="15.75" customHeight="1" thickBot="1" x14ac:dyDescent="0.4">
      <c r="A117" s="17" t="s">
        <v>316</v>
      </c>
      <c r="B117" s="18">
        <v>45554</v>
      </c>
      <c r="C117" s="17" t="s">
        <v>134</v>
      </c>
      <c r="D117" s="17" t="s">
        <v>135</v>
      </c>
      <c r="E117" s="17" t="s">
        <v>142</v>
      </c>
      <c r="F117" s="17" t="s">
        <v>143</v>
      </c>
      <c r="G117" s="17" t="s">
        <v>20</v>
      </c>
      <c r="H117" s="19">
        <v>4</v>
      </c>
      <c r="I117" s="19">
        <v>699.99</v>
      </c>
      <c r="J117" s="17" t="s">
        <v>35</v>
      </c>
      <c r="K117" s="17" t="s">
        <v>36</v>
      </c>
      <c r="L117" s="17" t="s">
        <v>23</v>
      </c>
      <c r="M117" s="18">
        <v>44618</v>
      </c>
      <c r="N117" s="4">
        <v>2799.96</v>
      </c>
      <c r="O117" s="9">
        <f t="shared" si="2"/>
        <v>31</v>
      </c>
      <c r="X117" s="9" t="str">
        <f>UPPER(LEFT(D117,1)&amp;MID(D117,FIND(" ",D117)+1,1))</f>
        <v>PR</v>
      </c>
    </row>
    <row r="118" spans="1:24" ht="15.75" customHeight="1" thickBot="1" x14ac:dyDescent="0.4">
      <c r="A118" s="17" t="s">
        <v>317</v>
      </c>
      <c r="B118" s="18">
        <v>45559</v>
      </c>
      <c r="C118" s="17" t="s">
        <v>296</v>
      </c>
      <c r="D118" s="17" t="s">
        <v>297</v>
      </c>
      <c r="E118" s="17" t="s">
        <v>62</v>
      </c>
      <c r="F118" s="17" t="s">
        <v>63</v>
      </c>
      <c r="G118" s="17" t="s">
        <v>20</v>
      </c>
      <c r="H118" s="19">
        <v>3</v>
      </c>
      <c r="I118" s="19">
        <v>899.99</v>
      </c>
      <c r="J118" s="17" t="s">
        <v>27</v>
      </c>
      <c r="K118" s="17" t="s">
        <v>41</v>
      </c>
      <c r="L118" s="17" t="s">
        <v>37</v>
      </c>
      <c r="M118" s="18">
        <v>45157</v>
      </c>
      <c r="N118" s="4">
        <v>2699.97</v>
      </c>
      <c r="O118" s="9">
        <f t="shared" si="2"/>
        <v>24</v>
      </c>
      <c r="X118" s="9" t="str">
        <f>UPPER(LEFT(D118,1)&amp;MID(D118,FIND(" ",D118)+1,1))</f>
        <v>SP</v>
      </c>
    </row>
    <row r="119" spans="1:24" ht="15.75" customHeight="1" thickBot="1" x14ac:dyDescent="0.4">
      <c r="A119" s="17" t="s">
        <v>318</v>
      </c>
      <c r="B119" s="18">
        <v>45560</v>
      </c>
      <c r="C119" s="17" t="s">
        <v>174</v>
      </c>
      <c r="D119" s="17" t="s">
        <v>175</v>
      </c>
      <c r="E119" s="17" t="s">
        <v>45</v>
      </c>
      <c r="F119" s="17" t="s">
        <v>46</v>
      </c>
      <c r="G119" s="17" t="s">
        <v>47</v>
      </c>
      <c r="H119" s="19">
        <v>3</v>
      </c>
      <c r="I119" s="19">
        <v>149.99</v>
      </c>
      <c r="J119" s="17" t="s">
        <v>35</v>
      </c>
      <c r="K119" s="17" t="s">
        <v>64</v>
      </c>
      <c r="L119" s="17" t="s">
        <v>23</v>
      </c>
      <c r="M119" s="18">
        <v>44886</v>
      </c>
      <c r="N119" s="4">
        <v>449.97</v>
      </c>
      <c r="O119" s="9">
        <f t="shared" si="2"/>
        <v>35</v>
      </c>
      <c r="X119" s="9" t="str">
        <f>UPPER(LEFT(D119,1)&amp;MID(D119,FIND(" ",D119)+1,1))</f>
        <v>LM</v>
      </c>
    </row>
    <row r="120" spans="1:24" ht="15.75" customHeight="1" thickBot="1" x14ac:dyDescent="0.4">
      <c r="A120" s="17" t="s">
        <v>319</v>
      </c>
      <c r="B120" s="18">
        <v>45563</v>
      </c>
      <c r="C120" s="17" t="s">
        <v>161</v>
      </c>
      <c r="D120" s="17" t="s">
        <v>162</v>
      </c>
      <c r="E120" s="17" t="s">
        <v>167</v>
      </c>
      <c r="F120" s="17" t="s">
        <v>168</v>
      </c>
      <c r="G120" s="17" t="s">
        <v>47</v>
      </c>
      <c r="H120" s="19">
        <v>2</v>
      </c>
      <c r="I120" s="19">
        <v>299.99</v>
      </c>
      <c r="J120" s="17" t="s">
        <v>58</v>
      </c>
      <c r="K120" s="17" t="s">
        <v>22</v>
      </c>
      <c r="L120" s="17" t="s">
        <v>23</v>
      </c>
      <c r="M120" s="18">
        <v>44569</v>
      </c>
      <c r="N120" s="4">
        <v>599.98</v>
      </c>
      <c r="O120" s="9">
        <f t="shared" si="2"/>
        <v>26</v>
      </c>
      <c r="X120" s="9" t="str">
        <f>UPPER(LEFT(D120,1)&amp;MID(D120,FIND(" ",D120)+1,1))</f>
        <v>PM</v>
      </c>
    </row>
    <row r="121" spans="1:24" ht="15.75" customHeight="1" thickBot="1" x14ac:dyDescent="0.4">
      <c r="A121" s="17" t="s">
        <v>320</v>
      </c>
      <c r="B121" s="18">
        <v>45564</v>
      </c>
      <c r="C121" s="17" t="s">
        <v>321</v>
      </c>
      <c r="D121" s="17" t="s">
        <v>322</v>
      </c>
      <c r="E121" s="17" t="s">
        <v>188</v>
      </c>
      <c r="F121" s="17" t="s">
        <v>189</v>
      </c>
      <c r="G121" s="17" t="s">
        <v>47</v>
      </c>
      <c r="H121" s="19">
        <v>1</v>
      </c>
      <c r="I121" s="19">
        <v>199.99</v>
      </c>
      <c r="J121" s="17" t="s">
        <v>58</v>
      </c>
      <c r="K121" s="17" t="s">
        <v>64</v>
      </c>
      <c r="L121" s="17" t="s">
        <v>37</v>
      </c>
      <c r="M121" s="18">
        <v>44953</v>
      </c>
      <c r="N121" s="4">
        <v>199.99</v>
      </c>
      <c r="O121" s="9">
        <f t="shared" si="2"/>
        <v>15</v>
      </c>
      <c r="X121" s="9" t="str">
        <f>UPPER(LEFT(D121,1)&amp;MID(D121,FIND(" ",D121)+1,1))</f>
        <v>RL</v>
      </c>
    </row>
    <row r="122" spans="1:24" ht="15.75" customHeight="1" thickBot="1" x14ac:dyDescent="0.4">
      <c r="A122" s="17" t="s">
        <v>323</v>
      </c>
      <c r="B122" s="18">
        <v>45566</v>
      </c>
      <c r="C122" s="17" t="s">
        <v>43</v>
      </c>
      <c r="D122" s="17" t="s">
        <v>44</v>
      </c>
      <c r="E122" s="17" t="s">
        <v>167</v>
      </c>
      <c r="F122" s="17" t="s">
        <v>168</v>
      </c>
      <c r="G122" s="17" t="s">
        <v>47</v>
      </c>
      <c r="H122" s="19">
        <v>4</v>
      </c>
      <c r="I122" s="19">
        <v>299.99</v>
      </c>
      <c r="J122" s="17" t="s">
        <v>21</v>
      </c>
      <c r="K122" s="17" t="s">
        <v>22</v>
      </c>
      <c r="L122" s="17" t="s">
        <v>28</v>
      </c>
      <c r="M122" s="18">
        <v>44460</v>
      </c>
      <c r="N122" s="4">
        <v>1199.96</v>
      </c>
      <c r="O122" s="9">
        <f t="shared" si="2"/>
        <v>26</v>
      </c>
      <c r="X122" s="9" t="str">
        <f>UPPER(LEFT(D122,1)&amp;MID(D122,FIND(" ",D122)+1,1))</f>
        <v>MB</v>
      </c>
    </row>
    <row r="123" spans="1:24" ht="15.75" customHeight="1" thickBot="1" x14ac:dyDescent="0.4">
      <c r="A123" s="17" t="s">
        <v>324</v>
      </c>
      <c r="B123" s="18">
        <v>45572</v>
      </c>
      <c r="C123" s="17" t="s">
        <v>151</v>
      </c>
      <c r="D123" s="17" t="s">
        <v>152</v>
      </c>
      <c r="E123" s="17" t="s">
        <v>32</v>
      </c>
      <c r="F123" s="17" t="s">
        <v>33</v>
      </c>
      <c r="G123" s="17" t="s">
        <v>34</v>
      </c>
      <c r="H123" s="19">
        <v>2</v>
      </c>
      <c r="I123" s="19">
        <v>59.99</v>
      </c>
      <c r="J123" s="17" t="s">
        <v>27</v>
      </c>
      <c r="K123" s="17" t="s">
        <v>22</v>
      </c>
      <c r="L123" s="17" t="s">
        <v>23</v>
      </c>
      <c r="M123" s="18">
        <v>44579</v>
      </c>
      <c r="N123" s="4">
        <v>119.98</v>
      </c>
      <c r="O123" s="9">
        <f t="shared" si="2"/>
        <v>29</v>
      </c>
      <c r="X123" s="9" t="str">
        <f>UPPER(LEFT(D123,1)&amp;MID(D123,FIND(" ",D123)+1,1))</f>
        <v>MG</v>
      </c>
    </row>
    <row r="124" spans="1:24" ht="15.75" customHeight="1" thickBot="1" x14ac:dyDescent="0.4">
      <c r="A124" s="17" t="s">
        <v>325</v>
      </c>
      <c r="B124" s="18">
        <v>45572</v>
      </c>
      <c r="C124" s="17" t="s">
        <v>296</v>
      </c>
      <c r="D124" s="17" t="s">
        <v>297</v>
      </c>
      <c r="E124" s="17" t="s">
        <v>53</v>
      </c>
      <c r="F124" s="17" t="s">
        <v>54</v>
      </c>
      <c r="G124" s="17" t="s">
        <v>20</v>
      </c>
      <c r="H124" s="19">
        <v>4</v>
      </c>
      <c r="I124" s="19">
        <v>149.99</v>
      </c>
      <c r="J124" s="17" t="s">
        <v>27</v>
      </c>
      <c r="K124" s="17" t="s">
        <v>41</v>
      </c>
      <c r="L124" s="17" t="s">
        <v>28</v>
      </c>
      <c r="M124" s="18">
        <v>45076</v>
      </c>
      <c r="N124" s="4">
        <v>599.96</v>
      </c>
      <c r="O124" s="9">
        <f t="shared" si="2"/>
        <v>16</v>
      </c>
      <c r="X124" s="9" t="str">
        <f>UPPER(LEFT(D124,1)&amp;MID(D124,FIND(" ",D124)+1,1))</f>
        <v>SP</v>
      </c>
    </row>
    <row r="125" spans="1:24" ht="15.75" customHeight="1" thickBot="1" x14ac:dyDescent="0.4">
      <c r="A125" s="17" t="s">
        <v>326</v>
      </c>
      <c r="B125" s="18">
        <v>45573</v>
      </c>
      <c r="C125" s="17" t="s">
        <v>273</v>
      </c>
      <c r="D125" s="17" t="s">
        <v>274</v>
      </c>
      <c r="E125" s="17" t="s">
        <v>142</v>
      </c>
      <c r="F125" s="17" t="s">
        <v>143</v>
      </c>
      <c r="G125" s="17" t="s">
        <v>20</v>
      </c>
      <c r="H125" s="19">
        <v>2</v>
      </c>
      <c r="I125" s="19">
        <v>699.99</v>
      </c>
      <c r="J125" s="17" t="s">
        <v>58</v>
      </c>
      <c r="K125" s="17" t="s">
        <v>64</v>
      </c>
      <c r="L125" s="17" t="s">
        <v>28</v>
      </c>
      <c r="M125" s="18">
        <v>45274</v>
      </c>
      <c r="N125" s="4">
        <v>1399.98</v>
      </c>
      <c r="O125" s="9">
        <f t="shared" si="2"/>
        <v>31</v>
      </c>
      <c r="X125" s="9" t="str">
        <f>UPPER(LEFT(D125,1)&amp;MID(D125,FIND(" ",D125)+1,1))</f>
        <v>EH</v>
      </c>
    </row>
    <row r="126" spans="1:24" ht="15.75" customHeight="1" thickBot="1" x14ac:dyDescent="0.4">
      <c r="A126" s="17" t="s">
        <v>327</v>
      </c>
      <c r="B126" s="18">
        <v>45573</v>
      </c>
      <c r="C126" s="17" t="s">
        <v>293</v>
      </c>
      <c r="D126" s="17" t="s">
        <v>294</v>
      </c>
      <c r="E126" s="17" t="s">
        <v>45</v>
      </c>
      <c r="F126" s="17" t="s">
        <v>46</v>
      </c>
      <c r="G126" s="17" t="s">
        <v>47</v>
      </c>
      <c r="H126" s="19">
        <v>3</v>
      </c>
      <c r="I126" s="19">
        <v>149.99</v>
      </c>
      <c r="J126" s="17" t="s">
        <v>27</v>
      </c>
      <c r="K126" s="17" t="s">
        <v>36</v>
      </c>
      <c r="L126" s="17" t="s">
        <v>37</v>
      </c>
      <c r="M126" s="18">
        <v>44940</v>
      </c>
      <c r="N126" s="4">
        <v>449.97</v>
      </c>
      <c r="O126" s="9">
        <f t="shared" si="2"/>
        <v>35</v>
      </c>
      <c r="X126" s="9" t="str">
        <f>UPPER(LEFT(D126,1)&amp;MID(D126,FIND(" ",D126)+1,1))</f>
        <v>CE</v>
      </c>
    </row>
    <row r="127" spans="1:24" ht="15.75" customHeight="1" thickBot="1" x14ac:dyDescent="0.4">
      <c r="A127" s="17" t="s">
        <v>328</v>
      </c>
      <c r="B127" s="18">
        <v>45576</v>
      </c>
      <c r="C127" s="17" t="s">
        <v>209</v>
      </c>
      <c r="D127" s="17" t="s">
        <v>210</v>
      </c>
      <c r="E127" s="17" t="s">
        <v>167</v>
      </c>
      <c r="F127" s="17" t="s">
        <v>168</v>
      </c>
      <c r="G127" s="17" t="s">
        <v>47</v>
      </c>
      <c r="H127" s="19">
        <v>3</v>
      </c>
      <c r="I127" s="19">
        <v>299.99</v>
      </c>
      <c r="J127" s="17" t="s">
        <v>27</v>
      </c>
      <c r="K127" s="17" t="s">
        <v>22</v>
      </c>
      <c r="L127" s="17" t="s">
        <v>37</v>
      </c>
      <c r="M127" s="18">
        <v>45174</v>
      </c>
      <c r="N127" s="4">
        <v>899.97</v>
      </c>
      <c r="O127" s="9">
        <f t="shared" si="2"/>
        <v>26</v>
      </c>
      <c r="X127" s="9" t="str">
        <f>UPPER(LEFT(D127,1)&amp;MID(D127,FIND(" ",D127)+1,1))</f>
        <v>DK</v>
      </c>
    </row>
    <row r="128" spans="1:24" ht="15.75" customHeight="1" thickBot="1" x14ac:dyDescent="0.4">
      <c r="A128" s="17" t="s">
        <v>329</v>
      </c>
      <c r="B128" s="18">
        <v>45579</v>
      </c>
      <c r="C128" s="17" t="s">
        <v>145</v>
      </c>
      <c r="D128" s="17" t="s">
        <v>146</v>
      </c>
      <c r="E128" s="17" t="s">
        <v>62</v>
      </c>
      <c r="F128" s="17" t="s">
        <v>63</v>
      </c>
      <c r="G128" s="17" t="s">
        <v>20</v>
      </c>
      <c r="H128" s="19">
        <v>3</v>
      </c>
      <c r="I128" s="19">
        <v>899.99</v>
      </c>
      <c r="J128" s="17" t="s">
        <v>35</v>
      </c>
      <c r="K128" s="17" t="s">
        <v>51</v>
      </c>
      <c r="L128" s="17" t="s">
        <v>23</v>
      </c>
      <c r="M128" s="18">
        <v>45215</v>
      </c>
      <c r="N128" s="4">
        <v>2699.97</v>
      </c>
      <c r="O128" s="9">
        <f t="shared" si="2"/>
        <v>24</v>
      </c>
      <c r="X128" s="9" t="str">
        <f>UPPER(LEFT(D128,1)&amp;MID(D128,FIND(" ",D128)+1,1))</f>
        <v>GA</v>
      </c>
    </row>
    <row r="129" spans="1:24" ht="15.75" customHeight="1" thickBot="1" x14ac:dyDescent="0.4">
      <c r="A129" s="17" t="s">
        <v>330</v>
      </c>
      <c r="B129" s="18">
        <v>45581</v>
      </c>
      <c r="C129" s="17" t="s">
        <v>158</v>
      </c>
      <c r="D129" s="17" t="s">
        <v>159</v>
      </c>
      <c r="E129" s="17" t="s">
        <v>142</v>
      </c>
      <c r="F129" s="17" t="s">
        <v>143</v>
      </c>
      <c r="G129" s="17" t="s">
        <v>20</v>
      </c>
      <c r="H129" s="19">
        <v>5</v>
      </c>
      <c r="I129" s="19">
        <v>699.99</v>
      </c>
      <c r="J129" s="17" t="s">
        <v>21</v>
      </c>
      <c r="K129" s="17" t="s">
        <v>64</v>
      </c>
      <c r="L129" s="17" t="s">
        <v>37</v>
      </c>
      <c r="M129" s="18">
        <v>45008</v>
      </c>
      <c r="N129" s="4">
        <v>3499.95</v>
      </c>
      <c r="O129" s="9">
        <f t="shared" si="2"/>
        <v>31</v>
      </c>
      <c r="X129" s="9" t="str">
        <f>UPPER(LEFT(D129,1)&amp;MID(D129,FIND(" ",D129)+1,1))</f>
        <v>BY</v>
      </c>
    </row>
    <row r="130" spans="1:24" ht="15.75" customHeight="1" thickBot="1" x14ac:dyDescent="0.4">
      <c r="A130" s="17" t="s">
        <v>331</v>
      </c>
      <c r="B130" s="18">
        <v>45581</v>
      </c>
      <c r="C130" s="17" t="s">
        <v>233</v>
      </c>
      <c r="D130" s="17" t="s">
        <v>234</v>
      </c>
      <c r="E130" s="17" t="s">
        <v>142</v>
      </c>
      <c r="F130" s="17" t="s">
        <v>143</v>
      </c>
      <c r="G130" s="17" t="s">
        <v>20</v>
      </c>
      <c r="H130" s="19">
        <v>4</v>
      </c>
      <c r="I130" s="19">
        <v>699.99</v>
      </c>
      <c r="J130" s="17" t="s">
        <v>27</v>
      </c>
      <c r="K130" s="17" t="s">
        <v>22</v>
      </c>
      <c r="L130" s="17" t="s">
        <v>23</v>
      </c>
      <c r="M130" s="18">
        <v>45385</v>
      </c>
      <c r="N130" s="4">
        <v>2799.96</v>
      </c>
      <c r="O130" s="9">
        <f t="shared" si="2"/>
        <v>31</v>
      </c>
      <c r="X130" s="9" t="str">
        <f>UPPER(LEFT(D130,1)&amp;MID(D130,FIND(" ",D130)+1,1))</f>
        <v>RR</v>
      </c>
    </row>
    <row r="131" spans="1:24" ht="15.75" customHeight="1" thickBot="1" x14ac:dyDescent="0.4">
      <c r="A131" s="17" t="s">
        <v>332</v>
      </c>
      <c r="B131" s="18">
        <v>45581</v>
      </c>
      <c r="C131" s="17" t="s">
        <v>212</v>
      </c>
      <c r="D131" s="17" t="s">
        <v>213</v>
      </c>
      <c r="E131" s="17" t="s">
        <v>62</v>
      </c>
      <c r="F131" s="17" t="s">
        <v>63</v>
      </c>
      <c r="G131" s="17" t="s">
        <v>20</v>
      </c>
      <c r="H131" s="19">
        <v>1</v>
      </c>
      <c r="I131" s="19">
        <v>899.99</v>
      </c>
      <c r="J131" s="17" t="s">
        <v>27</v>
      </c>
      <c r="K131" s="17" t="s">
        <v>64</v>
      </c>
      <c r="L131" s="17" t="s">
        <v>37</v>
      </c>
      <c r="M131" s="18">
        <v>45369</v>
      </c>
      <c r="N131" s="4">
        <v>899.99</v>
      </c>
      <c r="O131" s="9">
        <f t="shared" ref="O131:O194" si="3">COUNTIF($F:$F,F131)</f>
        <v>24</v>
      </c>
      <c r="X131" s="9" t="str">
        <f>UPPER(LEFT(D131,1)&amp;MID(D131,FIND(" ",D131)+1,1))</f>
        <v>SB</v>
      </c>
    </row>
    <row r="132" spans="1:24" ht="15.75" customHeight="1" thickBot="1" x14ac:dyDescent="0.4">
      <c r="A132" s="17" t="s">
        <v>333</v>
      </c>
      <c r="B132" s="18">
        <v>45583</v>
      </c>
      <c r="C132" s="17" t="s">
        <v>288</v>
      </c>
      <c r="D132" s="17" t="s">
        <v>289</v>
      </c>
      <c r="E132" s="17" t="s">
        <v>53</v>
      </c>
      <c r="F132" s="17" t="s">
        <v>54</v>
      </c>
      <c r="G132" s="17" t="s">
        <v>20</v>
      </c>
      <c r="H132" s="19">
        <v>2</v>
      </c>
      <c r="I132" s="19">
        <v>149.99</v>
      </c>
      <c r="J132" s="17" t="s">
        <v>27</v>
      </c>
      <c r="K132" s="17" t="s">
        <v>51</v>
      </c>
      <c r="L132" s="17" t="s">
        <v>23</v>
      </c>
      <c r="M132" s="18">
        <v>44916</v>
      </c>
      <c r="N132" s="4">
        <v>299.98</v>
      </c>
      <c r="O132" s="9">
        <f t="shared" si="3"/>
        <v>16</v>
      </c>
      <c r="X132" s="9" t="str">
        <f>UPPER(LEFT(D132,1)&amp;MID(D132,FIND(" ",D132)+1,1))</f>
        <v>LR</v>
      </c>
    </row>
    <row r="133" spans="1:24" ht="15.75" customHeight="1" thickBot="1" x14ac:dyDescent="0.4">
      <c r="A133" s="17" t="s">
        <v>334</v>
      </c>
      <c r="B133" s="18">
        <v>45586</v>
      </c>
      <c r="C133" s="17" t="s">
        <v>288</v>
      </c>
      <c r="D133" s="17" t="s">
        <v>289</v>
      </c>
      <c r="E133" s="17" t="s">
        <v>179</v>
      </c>
      <c r="F133" s="17" t="s">
        <v>180</v>
      </c>
      <c r="G133" s="17" t="s">
        <v>20</v>
      </c>
      <c r="H133" s="19">
        <v>3</v>
      </c>
      <c r="I133" s="19">
        <v>89.99</v>
      </c>
      <c r="J133" s="17" t="s">
        <v>35</v>
      </c>
      <c r="K133" s="17" t="s">
        <v>22</v>
      </c>
      <c r="L133" s="17" t="s">
        <v>23</v>
      </c>
      <c r="M133" s="18">
        <v>44551</v>
      </c>
      <c r="N133" s="4">
        <v>269.97000000000003</v>
      </c>
      <c r="O133" s="9">
        <f t="shared" si="3"/>
        <v>34</v>
      </c>
      <c r="X133" s="9" t="str">
        <f>UPPER(LEFT(D133,1)&amp;MID(D133,FIND(" ",D133)+1,1))</f>
        <v>LR</v>
      </c>
    </row>
    <row r="134" spans="1:24" ht="15.75" customHeight="1" thickBot="1" x14ac:dyDescent="0.4">
      <c r="A134" s="17" t="s">
        <v>335</v>
      </c>
      <c r="B134" s="18">
        <v>45588</v>
      </c>
      <c r="C134" s="17" t="s">
        <v>39</v>
      </c>
      <c r="D134" s="17" t="s">
        <v>40</v>
      </c>
      <c r="E134" s="17" t="s">
        <v>53</v>
      </c>
      <c r="F134" s="17" t="s">
        <v>54</v>
      </c>
      <c r="G134" s="17" t="s">
        <v>20</v>
      </c>
      <c r="H134" s="19">
        <v>2</v>
      </c>
      <c r="I134" s="19">
        <v>149.99</v>
      </c>
      <c r="J134" s="17" t="s">
        <v>35</v>
      </c>
      <c r="K134" s="17" t="s">
        <v>22</v>
      </c>
      <c r="L134" s="17" t="s">
        <v>23</v>
      </c>
      <c r="M134" s="18">
        <v>44473</v>
      </c>
      <c r="N134" s="4">
        <v>299.98</v>
      </c>
      <c r="O134" s="9">
        <f t="shared" si="3"/>
        <v>16</v>
      </c>
      <c r="X134" s="9" t="str">
        <f>UPPER(LEFT(D134,1)&amp;MID(D134,FIND(" ",D134)+1,1))</f>
        <v>KB</v>
      </c>
    </row>
    <row r="135" spans="1:24" ht="15.75" customHeight="1" thickBot="1" x14ac:dyDescent="0.4">
      <c r="A135" s="17" t="s">
        <v>336</v>
      </c>
      <c r="B135" s="18">
        <v>45588</v>
      </c>
      <c r="C135" s="17" t="s">
        <v>216</v>
      </c>
      <c r="D135" s="17" t="s">
        <v>217</v>
      </c>
      <c r="E135" s="17" t="s">
        <v>142</v>
      </c>
      <c r="F135" s="17" t="s">
        <v>143</v>
      </c>
      <c r="G135" s="17" t="s">
        <v>20</v>
      </c>
      <c r="H135" s="19">
        <v>2</v>
      </c>
      <c r="I135" s="19">
        <v>699.99</v>
      </c>
      <c r="J135" s="17" t="s">
        <v>21</v>
      </c>
      <c r="K135" s="17" t="s">
        <v>22</v>
      </c>
      <c r="L135" s="17" t="s">
        <v>23</v>
      </c>
      <c r="M135" s="18">
        <v>44992</v>
      </c>
      <c r="N135" s="4">
        <v>1399.98</v>
      </c>
      <c r="O135" s="9">
        <f t="shared" si="3"/>
        <v>31</v>
      </c>
      <c r="X135" s="9" t="str">
        <f>UPPER(LEFT(D135,1)&amp;MID(D135,FIND(" ",D135)+1,1))</f>
        <v>SD</v>
      </c>
    </row>
    <row r="136" spans="1:24" ht="15.75" customHeight="1" thickBot="1" x14ac:dyDescent="0.4">
      <c r="A136" s="17" t="s">
        <v>337</v>
      </c>
      <c r="B136" s="18">
        <v>45589</v>
      </c>
      <c r="C136" s="17" t="s">
        <v>220</v>
      </c>
      <c r="D136" s="17" t="s">
        <v>221</v>
      </c>
      <c r="E136" s="17" t="s">
        <v>142</v>
      </c>
      <c r="F136" s="17" t="s">
        <v>143</v>
      </c>
      <c r="G136" s="17" t="s">
        <v>20</v>
      </c>
      <c r="H136" s="19">
        <v>5</v>
      </c>
      <c r="I136" s="19">
        <v>699.99</v>
      </c>
      <c r="J136" s="17" t="s">
        <v>21</v>
      </c>
      <c r="K136" s="17" t="s">
        <v>41</v>
      </c>
      <c r="L136" s="17" t="s">
        <v>28</v>
      </c>
      <c r="M136" s="18">
        <v>44635</v>
      </c>
      <c r="N136" s="4">
        <v>3499.95</v>
      </c>
      <c r="O136" s="9">
        <f t="shared" si="3"/>
        <v>31</v>
      </c>
      <c r="X136" s="9" t="str">
        <f>UPPER(LEFT(D136,1)&amp;MID(D136,FIND(" ",D136)+1,1))</f>
        <v>BC</v>
      </c>
    </row>
    <row r="137" spans="1:24" ht="15.75" customHeight="1" thickBot="1" x14ac:dyDescent="0.4">
      <c r="A137" s="17" t="s">
        <v>338</v>
      </c>
      <c r="B137" s="18">
        <v>45592</v>
      </c>
      <c r="C137" s="17" t="s">
        <v>233</v>
      </c>
      <c r="D137" s="17" t="s">
        <v>234</v>
      </c>
      <c r="E137" s="17" t="s">
        <v>179</v>
      </c>
      <c r="F137" s="17" t="s">
        <v>180</v>
      </c>
      <c r="G137" s="17" t="s">
        <v>20</v>
      </c>
      <c r="H137" s="19">
        <v>3</v>
      </c>
      <c r="I137" s="19">
        <v>89.99</v>
      </c>
      <c r="J137" s="17" t="s">
        <v>27</v>
      </c>
      <c r="K137" s="17" t="s">
        <v>41</v>
      </c>
      <c r="L137" s="17" t="s">
        <v>37</v>
      </c>
      <c r="M137" s="18">
        <v>44615</v>
      </c>
      <c r="N137" s="4">
        <v>269.97000000000003</v>
      </c>
      <c r="O137" s="9">
        <f t="shared" si="3"/>
        <v>34</v>
      </c>
      <c r="X137" s="9" t="str">
        <f>UPPER(LEFT(D137,1)&amp;MID(D137,FIND(" ",D137)+1,1))</f>
        <v>RR</v>
      </c>
    </row>
    <row r="138" spans="1:24" ht="15.75" customHeight="1" thickBot="1" x14ac:dyDescent="0.4">
      <c r="A138" s="17" t="s">
        <v>339</v>
      </c>
      <c r="B138" s="18">
        <v>45597</v>
      </c>
      <c r="C138" s="17" t="s">
        <v>16</v>
      </c>
      <c r="D138" s="17" t="s">
        <v>17</v>
      </c>
      <c r="E138" s="17" t="s">
        <v>18</v>
      </c>
      <c r="F138" s="17" t="s">
        <v>19</v>
      </c>
      <c r="G138" s="17" t="s">
        <v>20</v>
      </c>
      <c r="H138" s="19">
        <v>5</v>
      </c>
      <c r="I138" s="19">
        <v>249.99</v>
      </c>
      <c r="J138" s="17" t="s">
        <v>27</v>
      </c>
      <c r="K138" s="17" t="s">
        <v>36</v>
      </c>
      <c r="L138" s="17" t="s">
        <v>37</v>
      </c>
      <c r="M138" s="18">
        <v>44881</v>
      </c>
      <c r="N138" s="4">
        <v>1249.95</v>
      </c>
      <c r="O138" s="9">
        <f t="shared" si="3"/>
        <v>26</v>
      </c>
      <c r="X138" s="9" t="str">
        <f>UPPER(LEFT(D138,1)&amp;MID(D138,FIND(" ",D138)+1,1))</f>
        <v>PB</v>
      </c>
    </row>
    <row r="139" spans="1:24" ht="15.75" customHeight="1" thickBot="1" x14ac:dyDescent="0.4">
      <c r="A139" s="17" t="s">
        <v>340</v>
      </c>
      <c r="B139" s="18">
        <v>45600</v>
      </c>
      <c r="C139" s="17" t="s">
        <v>127</v>
      </c>
      <c r="D139" s="17" t="s">
        <v>128</v>
      </c>
      <c r="E139" s="17" t="s">
        <v>167</v>
      </c>
      <c r="F139" s="17" t="s">
        <v>168</v>
      </c>
      <c r="G139" s="17" t="s">
        <v>47</v>
      </c>
      <c r="H139" s="19">
        <v>3</v>
      </c>
      <c r="I139" s="19">
        <v>299.99</v>
      </c>
      <c r="J139" s="17" t="s">
        <v>27</v>
      </c>
      <c r="K139" s="17" t="s">
        <v>36</v>
      </c>
      <c r="L139" s="17" t="s">
        <v>37</v>
      </c>
      <c r="M139" s="18">
        <v>44502</v>
      </c>
      <c r="N139" s="4">
        <v>899.97</v>
      </c>
      <c r="O139" s="9">
        <f t="shared" si="3"/>
        <v>26</v>
      </c>
      <c r="X139" s="9" t="str">
        <f>UPPER(LEFT(D139,1)&amp;MID(D139,FIND(" ",D139)+1,1))</f>
        <v>KH</v>
      </c>
    </row>
    <row r="140" spans="1:24" ht="15.75" customHeight="1" thickBot="1" x14ac:dyDescent="0.4">
      <c r="A140" s="17" t="s">
        <v>341</v>
      </c>
      <c r="B140" s="18">
        <v>45603</v>
      </c>
      <c r="C140" s="17" t="s">
        <v>161</v>
      </c>
      <c r="D140" s="17" t="s">
        <v>162</v>
      </c>
      <c r="E140" s="17" t="s">
        <v>179</v>
      </c>
      <c r="F140" s="17" t="s">
        <v>180</v>
      </c>
      <c r="G140" s="17" t="s">
        <v>20</v>
      </c>
      <c r="H140" s="19">
        <v>3</v>
      </c>
      <c r="I140" s="19">
        <v>89.99</v>
      </c>
      <c r="J140" s="17" t="s">
        <v>27</v>
      </c>
      <c r="K140" s="17" t="s">
        <v>41</v>
      </c>
      <c r="L140" s="17" t="s">
        <v>28</v>
      </c>
      <c r="M140" s="18">
        <v>44420</v>
      </c>
      <c r="N140" s="4">
        <v>269.97000000000003</v>
      </c>
      <c r="O140" s="9">
        <f t="shared" si="3"/>
        <v>34</v>
      </c>
      <c r="X140" s="9" t="str">
        <f>UPPER(LEFT(D140,1)&amp;MID(D140,FIND(" ",D140)+1,1))</f>
        <v>PM</v>
      </c>
    </row>
    <row r="141" spans="1:24" ht="15.75" customHeight="1" thickBot="1" x14ac:dyDescent="0.4">
      <c r="A141" s="17" t="s">
        <v>342</v>
      </c>
      <c r="B141" s="18">
        <v>45604</v>
      </c>
      <c r="C141" s="17" t="s">
        <v>151</v>
      </c>
      <c r="D141" s="17" t="s">
        <v>152</v>
      </c>
      <c r="E141" s="17" t="s">
        <v>45</v>
      </c>
      <c r="F141" s="17" t="s">
        <v>46</v>
      </c>
      <c r="G141" s="17" t="s">
        <v>47</v>
      </c>
      <c r="H141" s="19">
        <v>2</v>
      </c>
      <c r="I141" s="19">
        <v>149.99</v>
      </c>
      <c r="J141" s="17" t="s">
        <v>27</v>
      </c>
      <c r="K141" s="17" t="s">
        <v>51</v>
      </c>
      <c r="L141" s="17" t="s">
        <v>28</v>
      </c>
      <c r="M141" s="18">
        <v>44848</v>
      </c>
      <c r="N141" s="4">
        <v>299.98</v>
      </c>
      <c r="O141" s="9">
        <f t="shared" si="3"/>
        <v>35</v>
      </c>
      <c r="X141" s="9" t="str">
        <f>UPPER(LEFT(D141,1)&amp;MID(D141,FIND(" ",D141)+1,1))</f>
        <v>MG</v>
      </c>
    </row>
    <row r="142" spans="1:24" ht="15.75" customHeight="1" thickBot="1" x14ac:dyDescent="0.4">
      <c r="A142" s="17" t="s">
        <v>343</v>
      </c>
      <c r="B142" s="18">
        <v>45605</v>
      </c>
      <c r="C142" s="17" t="s">
        <v>247</v>
      </c>
      <c r="D142" s="17" t="s">
        <v>248</v>
      </c>
      <c r="E142" s="17" t="s">
        <v>18</v>
      </c>
      <c r="F142" s="17" t="s">
        <v>19</v>
      </c>
      <c r="G142" s="17" t="s">
        <v>20</v>
      </c>
      <c r="H142" s="19">
        <v>1</v>
      </c>
      <c r="I142" s="19">
        <v>249.99</v>
      </c>
      <c r="J142" s="17" t="s">
        <v>27</v>
      </c>
      <c r="K142" s="17" t="s">
        <v>41</v>
      </c>
      <c r="L142" s="17" t="s">
        <v>28</v>
      </c>
      <c r="M142" s="18">
        <v>44828</v>
      </c>
      <c r="N142" s="4">
        <v>249.99</v>
      </c>
      <c r="O142" s="9">
        <f t="shared" si="3"/>
        <v>26</v>
      </c>
      <c r="X142" s="9" t="str">
        <f>UPPER(LEFT(D142,1)&amp;MID(D142,FIND(" ",D142)+1,1))</f>
        <v>MW</v>
      </c>
    </row>
    <row r="143" spans="1:24" ht="15.75" customHeight="1" thickBot="1" x14ac:dyDescent="0.4">
      <c r="A143" s="17" t="s">
        <v>344</v>
      </c>
      <c r="B143" s="18">
        <v>45607</v>
      </c>
      <c r="C143" s="17" t="s">
        <v>134</v>
      </c>
      <c r="D143" s="17" t="s">
        <v>135</v>
      </c>
      <c r="E143" s="17" t="s">
        <v>53</v>
      </c>
      <c r="F143" s="17" t="s">
        <v>54</v>
      </c>
      <c r="G143" s="17" t="s">
        <v>20</v>
      </c>
      <c r="H143" s="19">
        <v>3</v>
      </c>
      <c r="I143" s="19">
        <v>149.99</v>
      </c>
      <c r="J143" s="17" t="s">
        <v>21</v>
      </c>
      <c r="K143" s="17" t="s">
        <v>41</v>
      </c>
      <c r="L143" s="17" t="s">
        <v>23</v>
      </c>
      <c r="M143" s="18">
        <v>44769</v>
      </c>
      <c r="N143" s="4">
        <v>449.97</v>
      </c>
      <c r="O143" s="9">
        <f t="shared" si="3"/>
        <v>16</v>
      </c>
      <c r="X143" s="9" t="str">
        <f>UPPER(LEFT(D143,1)&amp;MID(D143,FIND(" ",D143)+1,1))</f>
        <v>PR</v>
      </c>
    </row>
    <row r="144" spans="1:24" ht="15.75" customHeight="1" thickBot="1" x14ac:dyDescent="0.4">
      <c r="A144" s="17" t="s">
        <v>345</v>
      </c>
      <c r="B144" s="18">
        <v>45607</v>
      </c>
      <c r="C144" s="17" t="s">
        <v>16</v>
      </c>
      <c r="D144" s="17" t="s">
        <v>17</v>
      </c>
      <c r="E144" s="17" t="s">
        <v>32</v>
      </c>
      <c r="F144" s="17" t="s">
        <v>33</v>
      </c>
      <c r="G144" s="17" t="s">
        <v>34</v>
      </c>
      <c r="H144" s="19">
        <v>5</v>
      </c>
      <c r="I144" s="19">
        <v>59.99</v>
      </c>
      <c r="J144" s="17" t="s">
        <v>35</v>
      </c>
      <c r="K144" s="17" t="s">
        <v>51</v>
      </c>
      <c r="L144" s="17" t="s">
        <v>28</v>
      </c>
      <c r="M144" s="18">
        <v>44694</v>
      </c>
      <c r="N144" s="4">
        <v>299.95</v>
      </c>
      <c r="O144" s="9">
        <f t="shared" si="3"/>
        <v>29</v>
      </c>
      <c r="X144" s="9" t="str">
        <f>UPPER(LEFT(D144,1)&amp;MID(D144,FIND(" ",D144)+1,1))</f>
        <v>PB</v>
      </c>
    </row>
    <row r="145" spans="1:24" ht="15.75" customHeight="1" thickBot="1" x14ac:dyDescent="0.4">
      <c r="A145" s="17" t="s">
        <v>346</v>
      </c>
      <c r="B145" s="18">
        <v>45607</v>
      </c>
      <c r="C145" s="17" t="s">
        <v>161</v>
      </c>
      <c r="D145" s="17" t="s">
        <v>162</v>
      </c>
      <c r="E145" s="17" t="s">
        <v>18</v>
      </c>
      <c r="F145" s="17" t="s">
        <v>19</v>
      </c>
      <c r="G145" s="17" t="s">
        <v>20</v>
      </c>
      <c r="H145" s="19">
        <v>4</v>
      </c>
      <c r="I145" s="19">
        <v>249.99</v>
      </c>
      <c r="J145" s="17" t="s">
        <v>27</v>
      </c>
      <c r="K145" s="17" t="s">
        <v>51</v>
      </c>
      <c r="L145" s="17" t="s">
        <v>37</v>
      </c>
      <c r="M145" s="18">
        <v>44659</v>
      </c>
      <c r="N145" s="4">
        <v>999.96</v>
      </c>
      <c r="O145" s="9">
        <f t="shared" si="3"/>
        <v>26</v>
      </c>
      <c r="X145" s="9" t="str">
        <f>UPPER(LEFT(D145,1)&amp;MID(D145,FIND(" ",D145)+1,1))</f>
        <v>PM</v>
      </c>
    </row>
    <row r="146" spans="1:24" ht="15.75" customHeight="1" thickBot="1" x14ac:dyDescent="0.4">
      <c r="A146" s="17" t="s">
        <v>347</v>
      </c>
      <c r="B146" s="18">
        <v>45608</v>
      </c>
      <c r="C146" s="17" t="s">
        <v>216</v>
      </c>
      <c r="D146" s="17" t="s">
        <v>217</v>
      </c>
      <c r="E146" s="17" t="s">
        <v>45</v>
      </c>
      <c r="F146" s="17" t="s">
        <v>46</v>
      </c>
      <c r="G146" s="17" t="s">
        <v>47</v>
      </c>
      <c r="H146" s="19">
        <v>5</v>
      </c>
      <c r="I146" s="19">
        <v>149.99</v>
      </c>
      <c r="J146" s="17" t="s">
        <v>35</v>
      </c>
      <c r="K146" s="17" t="s">
        <v>22</v>
      </c>
      <c r="L146" s="17" t="s">
        <v>23</v>
      </c>
      <c r="M146" s="18">
        <v>44901</v>
      </c>
      <c r="N146" s="4">
        <v>749.95</v>
      </c>
      <c r="O146" s="9">
        <f t="shared" si="3"/>
        <v>35</v>
      </c>
      <c r="X146" s="9" t="str">
        <f>UPPER(LEFT(D146,1)&amp;MID(D146,FIND(" ",D146)+1,1))</f>
        <v>SD</v>
      </c>
    </row>
    <row r="147" spans="1:24" ht="15.75" customHeight="1" thickBot="1" x14ac:dyDescent="0.4">
      <c r="A147" s="17" t="s">
        <v>348</v>
      </c>
      <c r="B147" s="18">
        <v>45608</v>
      </c>
      <c r="C147" s="17" t="s">
        <v>145</v>
      </c>
      <c r="D147" s="17" t="s">
        <v>146</v>
      </c>
      <c r="E147" s="17" t="s">
        <v>32</v>
      </c>
      <c r="F147" s="17" t="s">
        <v>33</v>
      </c>
      <c r="G147" s="17" t="s">
        <v>34</v>
      </c>
      <c r="H147" s="19">
        <v>3</v>
      </c>
      <c r="I147" s="19">
        <v>59.99</v>
      </c>
      <c r="J147" s="17" t="s">
        <v>58</v>
      </c>
      <c r="K147" s="17" t="s">
        <v>36</v>
      </c>
      <c r="L147" s="17" t="s">
        <v>37</v>
      </c>
      <c r="M147" s="18">
        <v>45260</v>
      </c>
      <c r="N147" s="4">
        <v>179.97</v>
      </c>
      <c r="O147" s="9">
        <f t="shared" si="3"/>
        <v>29</v>
      </c>
      <c r="X147" s="9" t="str">
        <f>UPPER(LEFT(D147,1)&amp;MID(D147,FIND(" ",D147)+1,1))</f>
        <v>GA</v>
      </c>
    </row>
    <row r="148" spans="1:24" ht="15.75" customHeight="1" thickBot="1" x14ac:dyDescent="0.4">
      <c r="A148" s="17" t="s">
        <v>349</v>
      </c>
      <c r="B148" s="18">
        <v>45613</v>
      </c>
      <c r="C148" s="17" t="s">
        <v>296</v>
      </c>
      <c r="D148" s="17" t="s">
        <v>297</v>
      </c>
      <c r="E148" s="17" t="s">
        <v>45</v>
      </c>
      <c r="F148" s="17" t="s">
        <v>46</v>
      </c>
      <c r="G148" s="17" t="s">
        <v>47</v>
      </c>
      <c r="H148" s="19">
        <v>5</v>
      </c>
      <c r="I148" s="19">
        <v>149.99</v>
      </c>
      <c r="J148" s="17" t="s">
        <v>21</v>
      </c>
      <c r="K148" s="17" t="s">
        <v>41</v>
      </c>
      <c r="L148" s="17" t="s">
        <v>23</v>
      </c>
      <c r="M148" s="18">
        <v>44869</v>
      </c>
      <c r="N148" s="4">
        <v>749.95</v>
      </c>
      <c r="O148" s="9">
        <f t="shared" si="3"/>
        <v>35</v>
      </c>
      <c r="X148" s="9" t="str">
        <f>UPPER(LEFT(D148,1)&amp;MID(D148,FIND(" ",D148)+1,1))</f>
        <v>SP</v>
      </c>
    </row>
    <row r="149" spans="1:24" ht="15.75" customHeight="1" thickBot="1" x14ac:dyDescent="0.4">
      <c r="A149" s="17" t="s">
        <v>350</v>
      </c>
      <c r="B149" s="18">
        <v>45613</v>
      </c>
      <c r="C149" s="17" t="s">
        <v>148</v>
      </c>
      <c r="D149" s="17" t="s">
        <v>149</v>
      </c>
      <c r="E149" s="17" t="s">
        <v>142</v>
      </c>
      <c r="F149" s="17" t="s">
        <v>143</v>
      </c>
      <c r="G149" s="17" t="s">
        <v>20</v>
      </c>
      <c r="H149" s="19">
        <v>2</v>
      </c>
      <c r="I149" s="19">
        <v>699.99</v>
      </c>
      <c r="J149" s="17" t="s">
        <v>35</v>
      </c>
      <c r="K149" s="17" t="s">
        <v>51</v>
      </c>
      <c r="L149" s="17" t="s">
        <v>37</v>
      </c>
      <c r="M149" s="18">
        <v>44770</v>
      </c>
      <c r="N149" s="4">
        <v>1399.98</v>
      </c>
      <c r="O149" s="9">
        <f t="shared" si="3"/>
        <v>31</v>
      </c>
      <c r="X149" s="9" t="str">
        <f>UPPER(LEFT(D149,1)&amp;MID(D149,FIND(" ",D149)+1,1))</f>
        <v>MC</v>
      </c>
    </row>
    <row r="150" spans="1:24" ht="15.75" customHeight="1" thickBot="1" x14ac:dyDescent="0.4">
      <c r="A150" s="17" t="s">
        <v>351</v>
      </c>
      <c r="B150" s="18">
        <v>45617</v>
      </c>
      <c r="C150" s="17" t="s">
        <v>185</v>
      </c>
      <c r="D150" s="17" t="s">
        <v>186</v>
      </c>
      <c r="E150" s="17" t="s">
        <v>188</v>
      </c>
      <c r="F150" s="17" t="s">
        <v>189</v>
      </c>
      <c r="G150" s="17" t="s">
        <v>47</v>
      </c>
      <c r="H150" s="19">
        <v>4</v>
      </c>
      <c r="I150" s="19">
        <v>199.99</v>
      </c>
      <c r="J150" s="17" t="s">
        <v>58</v>
      </c>
      <c r="K150" s="17" t="s">
        <v>22</v>
      </c>
      <c r="L150" s="17" t="s">
        <v>28</v>
      </c>
      <c r="M150" s="18">
        <v>44427</v>
      </c>
      <c r="N150" s="4">
        <v>799.96</v>
      </c>
      <c r="O150" s="9">
        <f t="shared" si="3"/>
        <v>15</v>
      </c>
      <c r="X150" s="9" t="str">
        <f>UPPER(LEFT(D150,1)&amp;MID(D150,FIND(" ",D150)+1,1))</f>
        <v>EM</v>
      </c>
    </row>
    <row r="151" spans="1:24" ht="15.75" customHeight="1" thickBot="1" x14ac:dyDescent="0.4">
      <c r="A151" s="17" t="s">
        <v>352</v>
      </c>
      <c r="B151" s="18">
        <v>45619</v>
      </c>
      <c r="C151" s="17" t="s">
        <v>254</v>
      </c>
      <c r="D151" s="17" t="s">
        <v>255</v>
      </c>
      <c r="E151" s="17" t="s">
        <v>32</v>
      </c>
      <c r="F151" s="17" t="s">
        <v>33</v>
      </c>
      <c r="G151" s="17" t="s">
        <v>34</v>
      </c>
      <c r="H151" s="19">
        <v>1</v>
      </c>
      <c r="I151" s="19">
        <v>59.99</v>
      </c>
      <c r="J151" s="17" t="s">
        <v>58</v>
      </c>
      <c r="K151" s="17" t="s">
        <v>51</v>
      </c>
      <c r="L151" s="17" t="s">
        <v>37</v>
      </c>
      <c r="M151" s="18">
        <v>44560</v>
      </c>
      <c r="N151" s="4">
        <v>59.99</v>
      </c>
      <c r="O151" s="9">
        <f t="shared" si="3"/>
        <v>29</v>
      </c>
      <c r="X151" s="9" t="str">
        <f>UPPER(LEFT(D151,1)&amp;MID(D151,FIND(" ",D151)+1,1))</f>
        <v>FT</v>
      </c>
    </row>
    <row r="152" spans="1:24" ht="15.75" customHeight="1" thickBot="1" x14ac:dyDescent="0.4">
      <c r="A152" s="17" t="s">
        <v>353</v>
      </c>
      <c r="B152" s="18">
        <v>45619</v>
      </c>
      <c r="C152" s="17" t="s">
        <v>216</v>
      </c>
      <c r="D152" s="17" t="s">
        <v>217</v>
      </c>
      <c r="E152" s="17" t="s">
        <v>142</v>
      </c>
      <c r="F152" s="17" t="s">
        <v>143</v>
      </c>
      <c r="G152" s="17" t="s">
        <v>20</v>
      </c>
      <c r="H152" s="19">
        <v>3</v>
      </c>
      <c r="I152" s="19">
        <v>699.99</v>
      </c>
      <c r="J152" s="17" t="s">
        <v>35</v>
      </c>
      <c r="K152" s="17" t="s">
        <v>51</v>
      </c>
      <c r="L152" s="17" t="s">
        <v>37</v>
      </c>
      <c r="M152" s="18">
        <v>44583</v>
      </c>
      <c r="N152" s="4">
        <v>2099.9699999999998</v>
      </c>
      <c r="O152" s="9">
        <f t="shared" si="3"/>
        <v>31</v>
      </c>
      <c r="X152" s="9" t="str">
        <f>UPPER(LEFT(D152,1)&amp;MID(D152,FIND(" ",D152)+1,1))</f>
        <v>SD</v>
      </c>
    </row>
    <row r="153" spans="1:24" ht="15.75" customHeight="1" thickBot="1" x14ac:dyDescent="0.4">
      <c r="A153" s="17" t="s">
        <v>354</v>
      </c>
      <c r="B153" s="18">
        <v>45622</v>
      </c>
      <c r="C153" s="17" t="s">
        <v>355</v>
      </c>
      <c r="D153" s="17" t="s">
        <v>356</v>
      </c>
      <c r="E153" s="17" t="s">
        <v>18</v>
      </c>
      <c r="F153" s="17" t="s">
        <v>19</v>
      </c>
      <c r="G153" s="17" t="s">
        <v>20</v>
      </c>
      <c r="H153" s="19">
        <v>5</v>
      </c>
      <c r="I153" s="19">
        <v>249.99</v>
      </c>
      <c r="J153" s="17" t="s">
        <v>27</v>
      </c>
      <c r="K153" s="17" t="s">
        <v>41</v>
      </c>
      <c r="L153" s="17" t="s">
        <v>23</v>
      </c>
      <c r="M153" s="18">
        <v>44873</v>
      </c>
      <c r="N153" s="4">
        <v>1249.95</v>
      </c>
      <c r="O153" s="9">
        <f t="shared" si="3"/>
        <v>26</v>
      </c>
      <c r="X153" s="9" t="str">
        <f>UPPER(LEFT(D153,1)&amp;MID(D153,FIND(" ",D153)+1,1))</f>
        <v>DW</v>
      </c>
    </row>
    <row r="154" spans="1:24" ht="15.75" customHeight="1" thickBot="1" x14ac:dyDescent="0.4">
      <c r="A154" s="17" t="s">
        <v>357</v>
      </c>
      <c r="B154" s="18">
        <v>45623</v>
      </c>
      <c r="C154" s="17" t="s">
        <v>174</v>
      </c>
      <c r="D154" s="17" t="s">
        <v>175</v>
      </c>
      <c r="E154" s="17" t="s">
        <v>45</v>
      </c>
      <c r="F154" s="17" t="s">
        <v>46</v>
      </c>
      <c r="G154" s="17" t="s">
        <v>47</v>
      </c>
      <c r="H154" s="19">
        <v>2</v>
      </c>
      <c r="I154" s="19">
        <v>149.99</v>
      </c>
      <c r="J154" s="17" t="s">
        <v>21</v>
      </c>
      <c r="K154" s="17" t="s">
        <v>36</v>
      </c>
      <c r="L154" s="17" t="s">
        <v>37</v>
      </c>
      <c r="M154" s="18">
        <v>45101</v>
      </c>
      <c r="N154" s="4">
        <v>299.98</v>
      </c>
      <c r="O154" s="9">
        <f t="shared" si="3"/>
        <v>35</v>
      </c>
      <c r="X154" s="9" t="str">
        <f>UPPER(LEFT(D154,1)&amp;MID(D154,FIND(" ",D154)+1,1))</f>
        <v>LM</v>
      </c>
    </row>
    <row r="155" spans="1:24" ht="15.75" customHeight="1" thickBot="1" x14ac:dyDescent="0.4">
      <c r="A155" s="17" t="s">
        <v>358</v>
      </c>
      <c r="B155" s="18">
        <v>45627</v>
      </c>
      <c r="C155" s="17" t="s">
        <v>30</v>
      </c>
      <c r="D155" s="17" t="s">
        <v>31</v>
      </c>
      <c r="E155" s="17" t="s">
        <v>167</v>
      </c>
      <c r="F155" s="17" t="s">
        <v>168</v>
      </c>
      <c r="G155" s="17" t="s">
        <v>47</v>
      </c>
      <c r="H155" s="19">
        <v>3</v>
      </c>
      <c r="I155" s="19">
        <v>299.99</v>
      </c>
      <c r="J155" s="17" t="s">
        <v>21</v>
      </c>
      <c r="K155" s="17" t="s">
        <v>36</v>
      </c>
      <c r="L155" s="17" t="s">
        <v>28</v>
      </c>
      <c r="M155" s="18">
        <v>44659</v>
      </c>
      <c r="N155" s="4">
        <v>899.97</v>
      </c>
      <c r="O155" s="9">
        <f t="shared" si="3"/>
        <v>26</v>
      </c>
      <c r="X155" s="9" t="str">
        <f>UPPER(LEFT(D155,1)&amp;MID(D155,FIND(" ",D155)+1,1))</f>
        <v>KS</v>
      </c>
    </row>
    <row r="156" spans="1:24" ht="15.75" customHeight="1" thickBot="1" x14ac:dyDescent="0.4">
      <c r="A156" s="17" t="s">
        <v>359</v>
      </c>
      <c r="B156" s="18">
        <v>45627</v>
      </c>
      <c r="C156" s="17" t="s">
        <v>56</v>
      </c>
      <c r="D156" s="17" t="s">
        <v>57</v>
      </c>
      <c r="E156" s="17" t="s">
        <v>18</v>
      </c>
      <c r="F156" s="17" t="s">
        <v>19</v>
      </c>
      <c r="G156" s="17" t="s">
        <v>20</v>
      </c>
      <c r="H156" s="19">
        <v>5</v>
      </c>
      <c r="I156" s="19">
        <v>249.99</v>
      </c>
      <c r="J156" s="17" t="s">
        <v>21</v>
      </c>
      <c r="K156" s="17" t="s">
        <v>22</v>
      </c>
      <c r="L156" s="17" t="s">
        <v>28</v>
      </c>
      <c r="M156" s="18">
        <v>44485</v>
      </c>
      <c r="N156" s="4">
        <v>1249.95</v>
      </c>
      <c r="O156" s="9">
        <f t="shared" si="3"/>
        <v>26</v>
      </c>
      <c r="X156" s="9" t="str">
        <f>UPPER(LEFT(D156,1)&amp;MID(D156,FIND(" ",D156)+1,1))</f>
        <v>CA</v>
      </c>
    </row>
    <row r="157" spans="1:24" ht="15.75" customHeight="1" thickBot="1" x14ac:dyDescent="0.4">
      <c r="A157" s="17" t="s">
        <v>360</v>
      </c>
      <c r="B157" s="18">
        <v>45627</v>
      </c>
      <c r="C157" s="17" t="s">
        <v>25</v>
      </c>
      <c r="D157" s="17" t="s">
        <v>26</v>
      </c>
      <c r="E157" s="17" t="s">
        <v>53</v>
      </c>
      <c r="F157" s="17" t="s">
        <v>54</v>
      </c>
      <c r="G157" s="17" t="s">
        <v>20</v>
      </c>
      <c r="H157" s="19">
        <v>2</v>
      </c>
      <c r="I157" s="19">
        <v>149.99</v>
      </c>
      <c r="J157" s="17" t="s">
        <v>21</v>
      </c>
      <c r="K157" s="17" t="s">
        <v>36</v>
      </c>
      <c r="L157" s="17" t="s">
        <v>28</v>
      </c>
      <c r="M157" s="18">
        <v>44475</v>
      </c>
      <c r="N157" s="4">
        <v>299.98</v>
      </c>
      <c r="O157" s="9">
        <f t="shared" si="3"/>
        <v>16</v>
      </c>
      <c r="X157" s="9" t="str">
        <f>UPPER(LEFT(D157,1)&amp;MID(D157,FIND(" ",D157)+1,1))</f>
        <v>JJ</v>
      </c>
    </row>
    <row r="158" spans="1:24" ht="15.75" customHeight="1" thickBot="1" x14ac:dyDescent="0.4">
      <c r="A158" s="17" t="s">
        <v>361</v>
      </c>
      <c r="B158" s="18">
        <v>45627</v>
      </c>
      <c r="C158" s="17" t="s">
        <v>148</v>
      </c>
      <c r="D158" s="17" t="s">
        <v>149</v>
      </c>
      <c r="E158" s="17" t="s">
        <v>142</v>
      </c>
      <c r="F158" s="17" t="s">
        <v>143</v>
      </c>
      <c r="G158" s="17" t="s">
        <v>20</v>
      </c>
      <c r="H158" s="19">
        <v>5</v>
      </c>
      <c r="I158" s="19">
        <v>699.99</v>
      </c>
      <c r="J158" s="17" t="s">
        <v>58</v>
      </c>
      <c r="K158" s="17" t="s">
        <v>51</v>
      </c>
      <c r="L158" s="17" t="s">
        <v>37</v>
      </c>
      <c r="M158" s="18">
        <v>44944</v>
      </c>
      <c r="N158" s="4">
        <v>3499.95</v>
      </c>
      <c r="O158" s="9">
        <f t="shared" si="3"/>
        <v>31</v>
      </c>
      <c r="X158" s="9" t="str">
        <f>UPPER(LEFT(D158,1)&amp;MID(D158,FIND(" ",D158)+1,1))</f>
        <v>MC</v>
      </c>
    </row>
    <row r="159" spans="1:24" ht="15.75" customHeight="1" thickBot="1" x14ac:dyDescent="0.4">
      <c r="A159" s="17" t="s">
        <v>362</v>
      </c>
      <c r="B159" s="18">
        <v>45629</v>
      </c>
      <c r="C159" s="17" t="s">
        <v>314</v>
      </c>
      <c r="D159" s="17" t="s">
        <v>315</v>
      </c>
      <c r="E159" s="17" t="s">
        <v>18</v>
      </c>
      <c r="F159" s="17" t="s">
        <v>19</v>
      </c>
      <c r="G159" s="17" t="s">
        <v>20</v>
      </c>
      <c r="H159" s="19">
        <v>4</v>
      </c>
      <c r="I159" s="19">
        <v>249.99</v>
      </c>
      <c r="J159" s="17" t="s">
        <v>35</v>
      </c>
      <c r="K159" s="17" t="s">
        <v>64</v>
      </c>
      <c r="L159" s="17" t="s">
        <v>28</v>
      </c>
      <c r="M159" s="18">
        <v>45098</v>
      </c>
      <c r="N159" s="4">
        <v>999.96</v>
      </c>
      <c r="O159" s="9">
        <f t="shared" si="3"/>
        <v>26</v>
      </c>
      <c r="X159" s="9" t="str">
        <f>UPPER(LEFT(D159,1)&amp;MID(D159,FIND(" ",D159)+1,1))</f>
        <v>WW</v>
      </c>
    </row>
    <row r="160" spans="1:24" ht="15.75" customHeight="1" thickBot="1" x14ac:dyDescent="0.4">
      <c r="A160" s="17" t="s">
        <v>363</v>
      </c>
      <c r="B160" s="18">
        <v>45630</v>
      </c>
      <c r="C160" s="17" t="s">
        <v>49</v>
      </c>
      <c r="D160" s="17" t="s">
        <v>50</v>
      </c>
      <c r="E160" s="17" t="s">
        <v>142</v>
      </c>
      <c r="F160" s="17" t="s">
        <v>143</v>
      </c>
      <c r="G160" s="17" t="s">
        <v>20</v>
      </c>
      <c r="H160" s="19">
        <v>4</v>
      </c>
      <c r="I160" s="19">
        <v>699.99</v>
      </c>
      <c r="J160" s="17" t="s">
        <v>27</v>
      </c>
      <c r="K160" s="17" t="s">
        <v>41</v>
      </c>
      <c r="L160" s="17" t="s">
        <v>28</v>
      </c>
      <c r="M160" s="18">
        <v>44703</v>
      </c>
      <c r="N160" s="4">
        <v>2799.96</v>
      </c>
      <c r="O160" s="9">
        <f t="shared" si="3"/>
        <v>31</v>
      </c>
      <c r="X160" s="9" t="str">
        <f>UPPER(LEFT(D160,1)&amp;MID(D160,FIND(" ",D160)+1,1))</f>
        <v>DN</v>
      </c>
    </row>
    <row r="161" spans="1:24" ht="15.75" customHeight="1" thickBot="1" x14ac:dyDescent="0.4">
      <c r="A161" s="17" t="s">
        <v>364</v>
      </c>
      <c r="B161" s="18">
        <v>45635</v>
      </c>
      <c r="C161" s="17" t="s">
        <v>170</v>
      </c>
      <c r="D161" s="17" t="s">
        <v>171</v>
      </c>
      <c r="E161" s="17" t="s">
        <v>18</v>
      </c>
      <c r="F161" s="17" t="s">
        <v>19</v>
      </c>
      <c r="G161" s="17" t="s">
        <v>20</v>
      </c>
      <c r="H161" s="19">
        <v>2</v>
      </c>
      <c r="I161" s="19">
        <v>249.99</v>
      </c>
      <c r="J161" s="17" t="s">
        <v>27</v>
      </c>
      <c r="K161" s="17" t="s">
        <v>22</v>
      </c>
      <c r="L161" s="17" t="s">
        <v>28</v>
      </c>
      <c r="M161" s="18">
        <v>44396</v>
      </c>
      <c r="N161" s="4">
        <v>499.98</v>
      </c>
      <c r="O161" s="9">
        <f t="shared" si="3"/>
        <v>26</v>
      </c>
      <c r="X161" s="9" t="str">
        <f>UPPER(LEFT(D161,1)&amp;MID(D161,FIND(" ",D161)+1,1))</f>
        <v>NC</v>
      </c>
    </row>
    <row r="162" spans="1:24" ht="15.75" customHeight="1" thickBot="1" x14ac:dyDescent="0.4">
      <c r="A162" s="17" t="s">
        <v>365</v>
      </c>
      <c r="B162" s="18">
        <v>45635</v>
      </c>
      <c r="C162" s="17" t="s">
        <v>366</v>
      </c>
      <c r="D162" s="17" t="s">
        <v>367</v>
      </c>
      <c r="E162" s="17" t="s">
        <v>32</v>
      </c>
      <c r="F162" s="17" t="s">
        <v>33</v>
      </c>
      <c r="G162" s="17" t="s">
        <v>34</v>
      </c>
      <c r="H162" s="19">
        <v>3</v>
      </c>
      <c r="I162" s="19">
        <v>59.99</v>
      </c>
      <c r="J162" s="17" t="s">
        <v>21</v>
      </c>
      <c r="K162" s="17" t="s">
        <v>22</v>
      </c>
      <c r="L162" s="17" t="s">
        <v>28</v>
      </c>
      <c r="M162" s="18">
        <v>45052</v>
      </c>
      <c r="N162" s="4">
        <v>179.97</v>
      </c>
      <c r="O162" s="9">
        <f t="shared" si="3"/>
        <v>29</v>
      </c>
      <c r="X162" s="9" t="str">
        <f>UPPER(LEFT(D162,1)&amp;MID(D162,FIND(" ",D162)+1,1))</f>
        <v>JJ</v>
      </c>
    </row>
    <row r="163" spans="1:24" ht="15.75" customHeight="1" thickBot="1" x14ac:dyDescent="0.4">
      <c r="A163" s="17" t="s">
        <v>368</v>
      </c>
      <c r="B163" s="18">
        <v>45635</v>
      </c>
      <c r="C163" s="17" t="s">
        <v>203</v>
      </c>
      <c r="D163" s="17" t="s">
        <v>204</v>
      </c>
      <c r="E163" s="17" t="s">
        <v>176</v>
      </c>
      <c r="F163" s="17" t="s">
        <v>177</v>
      </c>
      <c r="G163" s="17" t="s">
        <v>34</v>
      </c>
      <c r="H163" s="19">
        <v>4</v>
      </c>
      <c r="I163" s="19">
        <v>79.989999999999995</v>
      </c>
      <c r="J163" s="17" t="s">
        <v>58</v>
      </c>
      <c r="K163" s="17" t="s">
        <v>64</v>
      </c>
      <c r="L163" s="17" t="s">
        <v>37</v>
      </c>
      <c r="M163" s="18">
        <v>44921</v>
      </c>
      <c r="N163" s="4">
        <v>319.95999999999998</v>
      </c>
      <c r="O163" s="9">
        <f t="shared" si="3"/>
        <v>14</v>
      </c>
      <c r="X163" s="9" t="str">
        <f>UPPER(LEFT(D163,1)&amp;MID(D163,FIND(" ",D163)+1,1))</f>
        <v>JT</v>
      </c>
    </row>
    <row r="164" spans="1:24" ht="15.75" customHeight="1" thickBot="1" x14ac:dyDescent="0.4">
      <c r="A164" s="17" t="s">
        <v>369</v>
      </c>
      <c r="B164" s="18">
        <v>45636</v>
      </c>
      <c r="C164" s="17" t="s">
        <v>182</v>
      </c>
      <c r="D164" s="17" t="s">
        <v>183</v>
      </c>
      <c r="E164" s="17" t="s">
        <v>176</v>
      </c>
      <c r="F164" s="17" t="s">
        <v>177</v>
      </c>
      <c r="G164" s="17" t="s">
        <v>34</v>
      </c>
      <c r="H164" s="19">
        <v>3</v>
      </c>
      <c r="I164" s="19">
        <v>79.989999999999995</v>
      </c>
      <c r="J164" s="17" t="s">
        <v>58</v>
      </c>
      <c r="K164" s="17" t="s">
        <v>64</v>
      </c>
      <c r="L164" s="17" t="s">
        <v>37</v>
      </c>
      <c r="M164" s="18">
        <v>44779</v>
      </c>
      <c r="N164" s="4">
        <v>239.97</v>
      </c>
      <c r="O164" s="9">
        <f t="shared" si="3"/>
        <v>14</v>
      </c>
      <c r="X164" s="9" t="str">
        <f>UPPER(LEFT(D164,1)&amp;MID(D164,FIND(" ",D164)+1,1))</f>
        <v>HR</v>
      </c>
    </row>
    <row r="165" spans="1:24" ht="15.75" customHeight="1" thickBot="1" x14ac:dyDescent="0.4">
      <c r="A165" s="17" t="s">
        <v>370</v>
      </c>
      <c r="B165" s="18">
        <v>45638</v>
      </c>
      <c r="C165" s="17" t="s">
        <v>134</v>
      </c>
      <c r="D165" s="17" t="s">
        <v>135</v>
      </c>
      <c r="E165" s="17" t="s">
        <v>62</v>
      </c>
      <c r="F165" s="17" t="s">
        <v>63</v>
      </c>
      <c r="G165" s="17" t="s">
        <v>20</v>
      </c>
      <c r="H165" s="19">
        <v>2</v>
      </c>
      <c r="I165" s="19">
        <v>899.99</v>
      </c>
      <c r="J165" s="17" t="s">
        <v>21</v>
      </c>
      <c r="K165" s="17" t="s">
        <v>41</v>
      </c>
      <c r="L165" s="17" t="s">
        <v>23</v>
      </c>
      <c r="M165" s="18">
        <v>44406</v>
      </c>
      <c r="N165" s="4">
        <v>1799.98</v>
      </c>
      <c r="O165" s="9">
        <f t="shared" si="3"/>
        <v>24</v>
      </c>
      <c r="X165" s="9" t="str">
        <f>UPPER(LEFT(D165,1)&amp;MID(D165,FIND(" ",D165)+1,1))</f>
        <v>PR</v>
      </c>
    </row>
    <row r="166" spans="1:24" ht="15.75" customHeight="1" thickBot="1" x14ac:dyDescent="0.4">
      <c r="A166" s="17" t="s">
        <v>371</v>
      </c>
      <c r="B166" s="18">
        <v>45641</v>
      </c>
      <c r="C166" s="17" t="s">
        <v>244</v>
      </c>
      <c r="D166" s="17" t="s">
        <v>245</v>
      </c>
      <c r="E166" s="17" t="s">
        <v>45</v>
      </c>
      <c r="F166" s="17" t="s">
        <v>46</v>
      </c>
      <c r="G166" s="17" t="s">
        <v>47</v>
      </c>
      <c r="H166" s="19">
        <v>1</v>
      </c>
      <c r="I166" s="19">
        <v>149.99</v>
      </c>
      <c r="J166" s="17" t="s">
        <v>58</v>
      </c>
      <c r="K166" s="17" t="s">
        <v>64</v>
      </c>
      <c r="L166" s="17" t="s">
        <v>37</v>
      </c>
      <c r="M166" s="18">
        <v>45200</v>
      </c>
      <c r="N166" s="4">
        <v>149.99</v>
      </c>
      <c r="O166" s="9">
        <f t="shared" si="3"/>
        <v>35</v>
      </c>
      <c r="X166" s="9" t="str">
        <f>UPPER(LEFT(D166,1)&amp;MID(D166,FIND(" ",D166)+1,1))</f>
        <v>DM</v>
      </c>
    </row>
    <row r="167" spans="1:24" ht="15.75" customHeight="1" thickBot="1" x14ac:dyDescent="0.4">
      <c r="A167" s="17" t="s">
        <v>372</v>
      </c>
      <c r="B167" s="18">
        <v>45641</v>
      </c>
      <c r="C167" s="17" t="s">
        <v>200</v>
      </c>
      <c r="D167" s="17" t="s">
        <v>201</v>
      </c>
      <c r="E167" s="17" t="s">
        <v>167</v>
      </c>
      <c r="F167" s="17" t="s">
        <v>168</v>
      </c>
      <c r="G167" s="17" t="s">
        <v>47</v>
      </c>
      <c r="H167" s="19">
        <v>2</v>
      </c>
      <c r="I167" s="19">
        <v>299.99</v>
      </c>
      <c r="J167" s="17" t="s">
        <v>21</v>
      </c>
      <c r="K167" s="17" t="s">
        <v>64</v>
      </c>
      <c r="L167" s="17" t="s">
        <v>28</v>
      </c>
      <c r="M167" s="18">
        <v>44724</v>
      </c>
      <c r="N167" s="4">
        <v>599.98</v>
      </c>
      <c r="O167" s="9">
        <f t="shared" si="3"/>
        <v>26</v>
      </c>
      <c r="X167" s="9" t="str">
        <f>UPPER(LEFT(D167,1)&amp;MID(D167,FIND(" ",D167)+1,1))</f>
        <v>ST</v>
      </c>
    </row>
    <row r="168" spans="1:24" ht="15.75" customHeight="1" thickBot="1" x14ac:dyDescent="0.4">
      <c r="A168" s="17" t="s">
        <v>373</v>
      </c>
      <c r="B168" s="18">
        <v>45644</v>
      </c>
      <c r="C168" s="17" t="s">
        <v>194</v>
      </c>
      <c r="D168" s="17" t="s">
        <v>195</v>
      </c>
      <c r="E168" s="17" t="s">
        <v>32</v>
      </c>
      <c r="F168" s="17" t="s">
        <v>33</v>
      </c>
      <c r="G168" s="17" t="s">
        <v>34</v>
      </c>
      <c r="H168" s="19">
        <v>2</v>
      </c>
      <c r="I168" s="19">
        <v>59.99</v>
      </c>
      <c r="J168" s="17" t="s">
        <v>21</v>
      </c>
      <c r="K168" s="17" t="s">
        <v>51</v>
      </c>
      <c r="L168" s="17" t="s">
        <v>23</v>
      </c>
      <c r="M168" s="18">
        <v>45191</v>
      </c>
      <c r="N168" s="4">
        <v>119.98</v>
      </c>
      <c r="O168" s="9">
        <f t="shared" si="3"/>
        <v>29</v>
      </c>
      <c r="X168" s="9" t="str">
        <f>UPPER(LEFT(D168,1)&amp;MID(D168,FIND(" ",D168)+1,1))</f>
        <v>EW</v>
      </c>
    </row>
    <row r="169" spans="1:24" ht="15.75" customHeight="1" thickBot="1" x14ac:dyDescent="0.4">
      <c r="A169" s="17" t="s">
        <v>374</v>
      </c>
      <c r="B169" s="18">
        <v>45645</v>
      </c>
      <c r="C169" s="17" t="s">
        <v>244</v>
      </c>
      <c r="D169" s="17" t="s">
        <v>245</v>
      </c>
      <c r="E169" s="17" t="s">
        <v>179</v>
      </c>
      <c r="F169" s="17" t="s">
        <v>180</v>
      </c>
      <c r="G169" s="17" t="s">
        <v>20</v>
      </c>
      <c r="H169" s="19">
        <v>1</v>
      </c>
      <c r="I169" s="19">
        <v>89.99</v>
      </c>
      <c r="J169" s="17" t="s">
        <v>58</v>
      </c>
      <c r="K169" s="17" t="s">
        <v>22</v>
      </c>
      <c r="L169" s="17" t="s">
        <v>37</v>
      </c>
      <c r="M169" s="18">
        <v>44760</v>
      </c>
      <c r="N169" s="4">
        <v>89.99</v>
      </c>
      <c r="O169" s="9">
        <f t="shared" si="3"/>
        <v>34</v>
      </c>
      <c r="X169" s="9" t="str">
        <f>UPPER(LEFT(D169,1)&amp;MID(D169,FIND(" ",D169)+1,1))</f>
        <v>DM</v>
      </c>
    </row>
    <row r="170" spans="1:24" ht="15.75" customHeight="1" thickBot="1" x14ac:dyDescent="0.4">
      <c r="A170" s="17" t="s">
        <v>375</v>
      </c>
      <c r="B170" s="18">
        <v>45645</v>
      </c>
      <c r="C170" s="17" t="s">
        <v>209</v>
      </c>
      <c r="D170" s="17" t="s">
        <v>210</v>
      </c>
      <c r="E170" s="17" t="s">
        <v>62</v>
      </c>
      <c r="F170" s="17" t="s">
        <v>63</v>
      </c>
      <c r="G170" s="17" t="s">
        <v>20</v>
      </c>
      <c r="H170" s="19">
        <v>5</v>
      </c>
      <c r="I170" s="19">
        <v>899.99</v>
      </c>
      <c r="J170" s="17" t="s">
        <v>58</v>
      </c>
      <c r="K170" s="17" t="s">
        <v>64</v>
      </c>
      <c r="L170" s="17" t="s">
        <v>37</v>
      </c>
      <c r="M170" s="18">
        <v>44625</v>
      </c>
      <c r="N170" s="4">
        <v>4499.95</v>
      </c>
      <c r="O170" s="9">
        <f t="shared" si="3"/>
        <v>24</v>
      </c>
      <c r="X170" s="9" t="str">
        <f>UPPER(LEFT(D170,1)&amp;MID(D170,FIND(" ",D170)+1,1))</f>
        <v>DK</v>
      </c>
    </row>
    <row r="171" spans="1:24" ht="15.75" customHeight="1" thickBot="1" x14ac:dyDescent="0.4">
      <c r="A171" s="17" t="s">
        <v>376</v>
      </c>
      <c r="B171" s="18">
        <v>45646</v>
      </c>
      <c r="C171" s="17" t="s">
        <v>43</v>
      </c>
      <c r="D171" s="17" t="s">
        <v>44</v>
      </c>
      <c r="E171" s="17" t="s">
        <v>45</v>
      </c>
      <c r="F171" s="17" t="s">
        <v>46</v>
      </c>
      <c r="G171" s="17" t="s">
        <v>47</v>
      </c>
      <c r="H171" s="19">
        <v>2</v>
      </c>
      <c r="I171" s="19">
        <v>149.99</v>
      </c>
      <c r="J171" s="17" t="s">
        <v>21</v>
      </c>
      <c r="K171" s="17" t="s">
        <v>36</v>
      </c>
      <c r="L171" s="17" t="s">
        <v>23</v>
      </c>
      <c r="M171" s="18">
        <v>45239</v>
      </c>
      <c r="N171" s="4">
        <v>299.98</v>
      </c>
      <c r="O171" s="9">
        <f t="shared" si="3"/>
        <v>35</v>
      </c>
      <c r="X171" s="9" t="str">
        <f>UPPER(LEFT(D171,1)&amp;MID(D171,FIND(" ",D171)+1,1))</f>
        <v>MB</v>
      </c>
    </row>
    <row r="172" spans="1:24" ht="15.75" customHeight="1" thickBot="1" x14ac:dyDescent="0.4">
      <c r="A172" s="17" t="s">
        <v>377</v>
      </c>
      <c r="B172" s="18">
        <v>45648</v>
      </c>
      <c r="C172" s="17" t="s">
        <v>174</v>
      </c>
      <c r="D172" s="17" t="s">
        <v>175</v>
      </c>
      <c r="E172" s="17" t="s">
        <v>53</v>
      </c>
      <c r="F172" s="17" t="s">
        <v>54</v>
      </c>
      <c r="G172" s="17" t="s">
        <v>20</v>
      </c>
      <c r="H172" s="19">
        <v>2</v>
      </c>
      <c r="I172" s="19">
        <v>149.99</v>
      </c>
      <c r="J172" s="17" t="s">
        <v>58</v>
      </c>
      <c r="K172" s="17" t="s">
        <v>51</v>
      </c>
      <c r="L172" s="17" t="s">
        <v>28</v>
      </c>
      <c r="M172" s="18">
        <v>45280</v>
      </c>
      <c r="N172" s="4">
        <v>299.98</v>
      </c>
      <c r="O172" s="9">
        <f t="shared" si="3"/>
        <v>16</v>
      </c>
      <c r="X172" s="9" t="str">
        <f>UPPER(LEFT(D172,1)&amp;MID(D172,FIND(" ",D172)+1,1))</f>
        <v>LM</v>
      </c>
    </row>
    <row r="173" spans="1:24" ht="15.75" customHeight="1" thickBot="1" x14ac:dyDescent="0.4">
      <c r="A173" s="17" t="s">
        <v>378</v>
      </c>
      <c r="B173" s="18">
        <v>45648</v>
      </c>
      <c r="C173" s="17" t="s">
        <v>244</v>
      </c>
      <c r="D173" s="17" t="s">
        <v>245</v>
      </c>
      <c r="E173" s="17" t="s">
        <v>45</v>
      </c>
      <c r="F173" s="17" t="s">
        <v>46</v>
      </c>
      <c r="G173" s="17" t="s">
        <v>47</v>
      </c>
      <c r="H173" s="19">
        <v>3</v>
      </c>
      <c r="I173" s="19">
        <v>149.99</v>
      </c>
      <c r="J173" s="17" t="s">
        <v>58</v>
      </c>
      <c r="K173" s="17" t="s">
        <v>41</v>
      </c>
      <c r="L173" s="17" t="s">
        <v>37</v>
      </c>
      <c r="M173" s="18">
        <v>44522</v>
      </c>
      <c r="N173" s="4">
        <v>449.97</v>
      </c>
      <c r="O173" s="9">
        <f t="shared" si="3"/>
        <v>35</v>
      </c>
      <c r="X173" s="9" t="str">
        <f>UPPER(LEFT(D173,1)&amp;MID(D173,FIND(" ",D173)+1,1))</f>
        <v>DM</v>
      </c>
    </row>
    <row r="174" spans="1:24" ht="15.75" customHeight="1" thickBot="1" x14ac:dyDescent="0.4">
      <c r="A174" s="17" t="s">
        <v>379</v>
      </c>
      <c r="B174" s="18">
        <v>45649</v>
      </c>
      <c r="C174" s="17" t="s">
        <v>30</v>
      </c>
      <c r="D174" s="17" t="s">
        <v>31</v>
      </c>
      <c r="E174" s="17" t="s">
        <v>167</v>
      </c>
      <c r="F174" s="17" t="s">
        <v>168</v>
      </c>
      <c r="G174" s="17" t="s">
        <v>47</v>
      </c>
      <c r="H174" s="19">
        <v>2</v>
      </c>
      <c r="I174" s="19">
        <v>299.99</v>
      </c>
      <c r="J174" s="17" t="s">
        <v>35</v>
      </c>
      <c r="K174" s="17" t="s">
        <v>36</v>
      </c>
      <c r="L174" s="17" t="s">
        <v>23</v>
      </c>
      <c r="M174" s="18">
        <v>44721</v>
      </c>
      <c r="N174" s="4">
        <v>599.98</v>
      </c>
      <c r="O174" s="9">
        <f t="shared" si="3"/>
        <v>26</v>
      </c>
      <c r="X174" s="9" t="str">
        <f>UPPER(LEFT(D174,1)&amp;MID(D174,FIND(" ",D174)+1,1))</f>
        <v>KS</v>
      </c>
    </row>
    <row r="175" spans="1:24" ht="15.75" customHeight="1" thickBot="1" x14ac:dyDescent="0.4">
      <c r="A175" s="17" t="s">
        <v>380</v>
      </c>
      <c r="B175" s="18">
        <v>45654</v>
      </c>
      <c r="C175" s="17" t="s">
        <v>43</v>
      </c>
      <c r="D175" s="17" t="s">
        <v>44</v>
      </c>
      <c r="E175" s="17" t="s">
        <v>167</v>
      </c>
      <c r="F175" s="17" t="s">
        <v>168</v>
      </c>
      <c r="G175" s="17" t="s">
        <v>47</v>
      </c>
      <c r="H175" s="19">
        <v>2</v>
      </c>
      <c r="I175" s="19">
        <v>299.99</v>
      </c>
      <c r="J175" s="17" t="s">
        <v>21</v>
      </c>
      <c r="K175" s="17" t="s">
        <v>51</v>
      </c>
      <c r="L175" s="17" t="s">
        <v>23</v>
      </c>
      <c r="M175" s="18">
        <v>44771</v>
      </c>
      <c r="N175" s="4">
        <v>599.98</v>
      </c>
      <c r="O175" s="9">
        <f t="shared" si="3"/>
        <v>26</v>
      </c>
      <c r="X175" s="9" t="str">
        <f>UPPER(LEFT(D175,1)&amp;MID(D175,FIND(" ",D175)+1,1))</f>
        <v>MB</v>
      </c>
    </row>
    <row r="176" spans="1:24" ht="15.75" customHeight="1" thickBot="1" x14ac:dyDescent="0.4">
      <c r="A176" s="17" t="s">
        <v>381</v>
      </c>
      <c r="B176" s="18">
        <v>45654</v>
      </c>
      <c r="C176" s="17" t="s">
        <v>182</v>
      </c>
      <c r="D176" s="17" t="s">
        <v>183</v>
      </c>
      <c r="E176" s="17" t="s">
        <v>188</v>
      </c>
      <c r="F176" s="17" t="s">
        <v>189</v>
      </c>
      <c r="G176" s="17" t="s">
        <v>47</v>
      </c>
      <c r="H176" s="19">
        <v>4</v>
      </c>
      <c r="I176" s="19">
        <v>199.99</v>
      </c>
      <c r="J176" s="17" t="s">
        <v>27</v>
      </c>
      <c r="K176" s="17" t="s">
        <v>22</v>
      </c>
      <c r="L176" s="17" t="s">
        <v>23</v>
      </c>
      <c r="M176" s="18">
        <v>44523</v>
      </c>
      <c r="N176" s="4">
        <v>799.96</v>
      </c>
      <c r="O176" s="9">
        <f t="shared" si="3"/>
        <v>15</v>
      </c>
      <c r="X176" s="9" t="str">
        <f>UPPER(LEFT(D176,1)&amp;MID(D176,FIND(" ",D176)+1,1))</f>
        <v>HR</v>
      </c>
    </row>
    <row r="177" spans="1:24" ht="15.75" customHeight="1" thickBot="1" x14ac:dyDescent="0.4">
      <c r="A177" s="17" t="s">
        <v>382</v>
      </c>
      <c r="B177" s="18">
        <v>45655</v>
      </c>
      <c r="C177" s="17" t="s">
        <v>60</v>
      </c>
      <c r="D177" s="17" t="s">
        <v>61</v>
      </c>
      <c r="E177" s="17" t="s">
        <v>179</v>
      </c>
      <c r="F177" s="17" t="s">
        <v>180</v>
      </c>
      <c r="G177" s="17" t="s">
        <v>20</v>
      </c>
      <c r="H177" s="19">
        <v>1</v>
      </c>
      <c r="I177" s="19">
        <v>89.99</v>
      </c>
      <c r="J177" s="17" t="s">
        <v>27</v>
      </c>
      <c r="K177" s="17" t="s">
        <v>36</v>
      </c>
      <c r="L177" s="17" t="s">
        <v>28</v>
      </c>
      <c r="M177" s="18">
        <v>44591</v>
      </c>
      <c r="N177" s="4">
        <v>89.99</v>
      </c>
      <c r="O177" s="9">
        <f t="shared" si="3"/>
        <v>34</v>
      </c>
      <c r="X177" s="9" t="str">
        <f>UPPER(LEFT(D177,1)&amp;MID(D177,FIND(" ",D177)+1,1))</f>
        <v>RT</v>
      </c>
    </row>
    <row r="178" spans="1:24" ht="15.75" customHeight="1" thickBot="1" x14ac:dyDescent="0.4">
      <c r="A178" s="17" t="s">
        <v>383</v>
      </c>
      <c r="B178" s="18">
        <v>45655</v>
      </c>
      <c r="C178" s="17" t="s">
        <v>170</v>
      </c>
      <c r="D178" s="17" t="s">
        <v>171</v>
      </c>
      <c r="E178" s="17" t="s">
        <v>45</v>
      </c>
      <c r="F178" s="17" t="s">
        <v>46</v>
      </c>
      <c r="G178" s="17" t="s">
        <v>47</v>
      </c>
      <c r="H178" s="19">
        <v>5</v>
      </c>
      <c r="I178" s="19">
        <v>149.99</v>
      </c>
      <c r="J178" s="17" t="s">
        <v>21</v>
      </c>
      <c r="K178" s="17" t="s">
        <v>22</v>
      </c>
      <c r="L178" s="17" t="s">
        <v>28</v>
      </c>
      <c r="M178" s="18">
        <v>45347</v>
      </c>
      <c r="N178" s="4">
        <v>749.95</v>
      </c>
      <c r="O178" s="9">
        <f t="shared" si="3"/>
        <v>35</v>
      </c>
      <c r="X178" s="9" t="str">
        <f>UPPER(LEFT(D178,1)&amp;MID(D178,FIND(" ",D178)+1,1))</f>
        <v>NC</v>
      </c>
    </row>
    <row r="179" spans="1:24" ht="15.75" customHeight="1" thickBot="1" x14ac:dyDescent="0.4">
      <c r="A179" s="17" t="s">
        <v>384</v>
      </c>
      <c r="B179" s="18">
        <v>45657</v>
      </c>
      <c r="C179" s="17" t="s">
        <v>148</v>
      </c>
      <c r="D179" s="17" t="s">
        <v>149</v>
      </c>
      <c r="E179" s="17" t="s">
        <v>62</v>
      </c>
      <c r="F179" s="17" t="s">
        <v>63</v>
      </c>
      <c r="G179" s="17" t="s">
        <v>20</v>
      </c>
      <c r="H179" s="19">
        <v>1</v>
      </c>
      <c r="I179" s="19">
        <v>899.99</v>
      </c>
      <c r="J179" s="17" t="s">
        <v>35</v>
      </c>
      <c r="K179" s="17" t="s">
        <v>41</v>
      </c>
      <c r="L179" s="17" t="s">
        <v>28</v>
      </c>
      <c r="M179" s="18">
        <v>45050</v>
      </c>
      <c r="N179" s="4">
        <v>899.99</v>
      </c>
      <c r="O179" s="9">
        <f t="shared" si="3"/>
        <v>24</v>
      </c>
      <c r="X179" s="9" t="str">
        <f>UPPER(LEFT(D179,1)&amp;MID(D179,FIND(" ",D179)+1,1))</f>
        <v>MC</v>
      </c>
    </row>
    <row r="180" spans="1:24" ht="15.75" customHeight="1" thickBot="1" x14ac:dyDescent="0.4">
      <c r="A180" s="17" t="s">
        <v>385</v>
      </c>
      <c r="B180" s="18">
        <v>45660</v>
      </c>
      <c r="C180" s="17" t="s">
        <v>209</v>
      </c>
      <c r="D180" s="17" t="s">
        <v>210</v>
      </c>
      <c r="E180" s="17" t="s">
        <v>179</v>
      </c>
      <c r="F180" s="17" t="s">
        <v>180</v>
      </c>
      <c r="G180" s="17" t="s">
        <v>20</v>
      </c>
      <c r="H180" s="19">
        <v>2</v>
      </c>
      <c r="I180" s="19">
        <v>89.99</v>
      </c>
      <c r="J180" s="17" t="s">
        <v>27</v>
      </c>
      <c r="K180" s="17" t="s">
        <v>36</v>
      </c>
      <c r="L180" s="17" t="s">
        <v>28</v>
      </c>
      <c r="M180" s="18">
        <v>44564</v>
      </c>
      <c r="N180" s="4">
        <v>179.98</v>
      </c>
      <c r="O180" s="9">
        <f t="shared" si="3"/>
        <v>34</v>
      </c>
      <c r="X180" s="9" t="str">
        <f>UPPER(LEFT(D180,1)&amp;MID(D180,FIND(" ",D180)+1,1))</f>
        <v>DK</v>
      </c>
    </row>
    <row r="181" spans="1:24" ht="15.75" customHeight="1" thickBot="1" x14ac:dyDescent="0.4">
      <c r="A181" s="17" t="s">
        <v>386</v>
      </c>
      <c r="B181" s="18">
        <v>45661</v>
      </c>
      <c r="C181" s="17" t="s">
        <v>387</v>
      </c>
      <c r="D181" s="17" t="s">
        <v>388</v>
      </c>
      <c r="E181" s="17" t="s">
        <v>62</v>
      </c>
      <c r="F181" s="17" t="s">
        <v>63</v>
      </c>
      <c r="G181" s="17" t="s">
        <v>20</v>
      </c>
      <c r="H181" s="19">
        <v>1</v>
      </c>
      <c r="I181" s="19">
        <v>899.99</v>
      </c>
      <c r="J181" s="17" t="s">
        <v>35</v>
      </c>
      <c r="K181" s="17" t="s">
        <v>41</v>
      </c>
      <c r="L181" s="17" t="s">
        <v>37</v>
      </c>
      <c r="M181" s="18">
        <v>44752</v>
      </c>
      <c r="N181" s="4">
        <v>899.99</v>
      </c>
      <c r="O181" s="9">
        <f t="shared" si="3"/>
        <v>24</v>
      </c>
      <c r="X181" s="9" t="str">
        <f>UPPER(LEFT(D181,1)&amp;MID(D181,FIND(" ",D181)+1,1))</f>
        <v>AE</v>
      </c>
    </row>
    <row r="182" spans="1:24" ht="15.75" customHeight="1" thickBot="1" x14ac:dyDescent="0.4">
      <c r="A182" s="17" t="s">
        <v>389</v>
      </c>
      <c r="B182" s="18">
        <v>45663</v>
      </c>
      <c r="C182" s="17" t="s">
        <v>191</v>
      </c>
      <c r="D182" s="17" t="s">
        <v>192</v>
      </c>
      <c r="E182" s="17" t="s">
        <v>53</v>
      </c>
      <c r="F182" s="17" t="s">
        <v>54</v>
      </c>
      <c r="G182" s="17" t="s">
        <v>20</v>
      </c>
      <c r="H182" s="19">
        <v>5</v>
      </c>
      <c r="I182" s="19">
        <v>149.99</v>
      </c>
      <c r="J182" s="17" t="s">
        <v>35</v>
      </c>
      <c r="K182" s="17" t="s">
        <v>64</v>
      </c>
      <c r="L182" s="17" t="s">
        <v>28</v>
      </c>
      <c r="M182" s="18">
        <v>44824</v>
      </c>
      <c r="N182" s="4">
        <v>749.95</v>
      </c>
      <c r="O182" s="9">
        <f t="shared" si="3"/>
        <v>16</v>
      </c>
      <c r="X182" s="9" t="str">
        <f>UPPER(LEFT(D182,1)&amp;MID(D182,FIND(" ",D182)+1,1))</f>
        <v>LA</v>
      </c>
    </row>
    <row r="183" spans="1:24" ht="15.75" customHeight="1" thickBot="1" x14ac:dyDescent="0.4">
      <c r="A183" s="17" t="s">
        <v>390</v>
      </c>
      <c r="B183" s="18">
        <v>45663</v>
      </c>
      <c r="C183" s="17" t="s">
        <v>43</v>
      </c>
      <c r="D183" s="17" t="s">
        <v>44</v>
      </c>
      <c r="E183" s="17" t="s">
        <v>167</v>
      </c>
      <c r="F183" s="17" t="s">
        <v>168</v>
      </c>
      <c r="G183" s="17" t="s">
        <v>47</v>
      </c>
      <c r="H183" s="19">
        <v>3</v>
      </c>
      <c r="I183" s="19">
        <v>299.99</v>
      </c>
      <c r="J183" s="17" t="s">
        <v>21</v>
      </c>
      <c r="K183" s="17" t="s">
        <v>36</v>
      </c>
      <c r="L183" s="17" t="s">
        <v>37</v>
      </c>
      <c r="M183" s="18">
        <v>44422</v>
      </c>
      <c r="N183" s="4">
        <v>899.97</v>
      </c>
      <c r="O183" s="9">
        <f t="shared" si="3"/>
        <v>26</v>
      </c>
      <c r="X183" s="9" t="str">
        <f>UPPER(LEFT(D183,1)&amp;MID(D183,FIND(" ",D183)+1,1))</f>
        <v>MB</v>
      </c>
    </row>
    <row r="184" spans="1:24" ht="15.75" customHeight="1" thickBot="1" x14ac:dyDescent="0.4">
      <c r="A184" s="17" t="s">
        <v>391</v>
      </c>
      <c r="B184" s="18">
        <v>45666</v>
      </c>
      <c r="C184" s="17" t="s">
        <v>127</v>
      </c>
      <c r="D184" s="17" t="s">
        <v>128</v>
      </c>
      <c r="E184" s="17" t="s">
        <v>142</v>
      </c>
      <c r="F184" s="17" t="s">
        <v>143</v>
      </c>
      <c r="G184" s="17" t="s">
        <v>20</v>
      </c>
      <c r="H184" s="19">
        <v>3</v>
      </c>
      <c r="I184" s="19">
        <v>699.99</v>
      </c>
      <c r="J184" s="17" t="s">
        <v>27</v>
      </c>
      <c r="K184" s="17" t="s">
        <v>22</v>
      </c>
      <c r="L184" s="17" t="s">
        <v>28</v>
      </c>
      <c r="M184" s="18">
        <v>45105</v>
      </c>
      <c r="N184" s="4">
        <v>2099.9699999999998</v>
      </c>
      <c r="O184" s="9">
        <f t="shared" si="3"/>
        <v>31</v>
      </c>
      <c r="X184" s="9" t="str">
        <f>UPPER(LEFT(D184,1)&amp;MID(D184,FIND(" ",D184)+1,1))</f>
        <v>KH</v>
      </c>
    </row>
    <row r="185" spans="1:24" ht="15.75" customHeight="1" thickBot="1" x14ac:dyDescent="0.4">
      <c r="A185" s="17" t="s">
        <v>392</v>
      </c>
      <c r="B185" s="18">
        <v>45667</v>
      </c>
      <c r="C185" s="17" t="s">
        <v>170</v>
      </c>
      <c r="D185" s="17" t="s">
        <v>171</v>
      </c>
      <c r="E185" s="17" t="s">
        <v>188</v>
      </c>
      <c r="F185" s="17" t="s">
        <v>189</v>
      </c>
      <c r="G185" s="17" t="s">
        <v>47</v>
      </c>
      <c r="H185" s="19">
        <v>5</v>
      </c>
      <c r="I185" s="19">
        <v>199.99</v>
      </c>
      <c r="J185" s="17" t="s">
        <v>35</v>
      </c>
      <c r="K185" s="17" t="s">
        <v>22</v>
      </c>
      <c r="L185" s="17" t="s">
        <v>37</v>
      </c>
      <c r="M185" s="18">
        <v>44633</v>
      </c>
      <c r="N185" s="4">
        <v>999.95</v>
      </c>
      <c r="O185" s="9">
        <f t="shared" si="3"/>
        <v>15</v>
      </c>
      <c r="X185" s="9" t="str">
        <f>UPPER(LEFT(D185,1)&amp;MID(D185,FIND(" ",D185)+1,1))</f>
        <v>NC</v>
      </c>
    </row>
    <row r="186" spans="1:24" ht="15.75" customHeight="1" thickBot="1" x14ac:dyDescent="0.4">
      <c r="A186" s="17" t="s">
        <v>393</v>
      </c>
      <c r="B186" s="18">
        <v>45667</v>
      </c>
      <c r="C186" s="17" t="s">
        <v>155</v>
      </c>
      <c r="D186" s="17" t="s">
        <v>156</v>
      </c>
      <c r="E186" s="17" t="s">
        <v>18</v>
      </c>
      <c r="F186" s="17" t="s">
        <v>19</v>
      </c>
      <c r="G186" s="17" t="s">
        <v>20</v>
      </c>
      <c r="H186" s="19">
        <v>5</v>
      </c>
      <c r="I186" s="19">
        <v>249.99</v>
      </c>
      <c r="J186" s="17" t="s">
        <v>27</v>
      </c>
      <c r="K186" s="17" t="s">
        <v>36</v>
      </c>
      <c r="L186" s="17" t="s">
        <v>23</v>
      </c>
      <c r="M186" s="18">
        <v>45330</v>
      </c>
      <c r="N186" s="4">
        <v>1249.95</v>
      </c>
      <c r="O186" s="9">
        <f t="shared" si="3"/>
        <v>26</v>
      </c>
      <c r="X186" s="9" t="str">
        <f>UPPER(LEFT(D186,1)&amp;MID(D186,FIND(" ",D186)+1,1))</f>
        <v>VS</v>
      </c>
    </row>
    <row r="187" spans="1:24" ht="15.75" customHeight="1" thickBot="1" x14ac:dyDescent="0.4">
      <c r="A187" s="17" t="s">
        <v>394</v>
      </c>
      <c r="B187" s="18">
        <v>45668</v>
      </c>
      <c r="C187" s="17" t="s">
        <v>200</v>
      </c>
      <c r="D187" s="17" t="s">
        <v>201</v>
      </c>
      <c r="E187" s="17" t="s">
        <v>53</v>
      </c>
      <c r="F187" s="17" t="s">
        <v>54</v>
      </c>
      <c r="G187" s="17" t="s">
        <v>20</v>
      </c>
      <c r="H187" s="19">
        <v>4</v>
      </c>
      <c r="I187" s="19">
        <v>149.99</v>
      </c>
      <c r="J187" s="17" t="s">
        <v>58</v>
      </c>
      <c r="K187" s="17" t="s">
        <v>64</v>
      </c>
      <c r="L187" s="17" t="s">
        <v>37</v>
      </c>
      <c r="M187" s="18">
        <v>44536</v>
      </c>
      <c r="N187" s="4">
        <v>599.96</v>
      </c>
      <c r="O187" s="9">
        <f t="shared" si="3"/>
        <v>16</v>
      </c>
      <c r="X187" s="9" t="str">
        <f>UPPER(LEFT(D187,1)&amp;MID(D187,FIND(" ",D187)+1,1))</f>
        <v>ST</v>
      </c>
    </row>
    <row r="188" spans="1:24" ht="15.75" customHeight="1" thickBot="1" x14ac:dyDescent="0.4">
      <c r="A188" s="17" t="s">
        <v>395</v>
      </c>
      <c r="B188" s="18">
        <v>45668</v>
      </c>
      <c r="C188" s="17" t="s">
        <v>140</v>
      </c>
      <c r="D188" s="17" t="s">
        <v>141</v>
      </c>
      <c r="E188" s="17" t="s">
        <v>142</v>
      </c>
      <c r="F188" s="17" t="s">
        <v>143</v>
      </c>
      <c r="G188" s="17" t="s">
        <v>20</v>
      </c>
      <c r="H188" s="19">
        <v>3</v>
      </c>
      <c r="I188" s="19">
        <v>699.99</v>
      </c>
      <c r="J188" s="17" t="s">
        <v>21</v>
      </c>
      <c r="K188" s="17" t="s">
        <v>41</v>
      </c>
      <c r="L188" s="17" t="s">
        <v>28</v>
      </c>
      <c r="M188" s="18">
        <v>44602</v>
      </c>
      <c r="N188" s="4">
        <v>2099.9699999999998</v>
      </c>
      <c r="O188" s="9">
        <f t="shared" si="3"/>
        <v>31</v>
      </c>
      <c r="X188" s="9" t="str">
        <f>UPPER(LEFT(D188,1)&amp;MID(D188,FIND(" ",D188)+1,1))</f>
        <v>MR</v>
      </c>
    </row>
    <row r="189" spans="1:24" ht="15.75" customHeight="1" thickBot="1" x14ac:dyDescent="0.4">
      <c r="A189" s="17" t="s">
        <v>396</v>
      </c>
      <c r="B189" s="18">
        <v>45670</v>
      </c>
      <c r="C189" s="17" t="s">
        <v>355</v>
      </c>
      <c r="D189" s="17" t="s">
        <v>356</v>
      </c>
      <c r="E189" s="17" t="s">
        <v>176</v>
      </c>
      <c r="F189" s="17" t="s">
        <v>177</v>
      </c>
      <c r="G189" s="17" t="s">
        <v>34</v>
      </c>
      <c r="H189" s="19">
        <v>1</v>
      </c>
      <c r="I189" s="19">
        <v>79.989999999999995</v>
      </c>
      <c r="J189" s="17" t="s">
        <v>27</v>
      </c>
      <c r="K189" s="17" t="s">
        <v>36</v>
      </c>
      <c r="L189" s="17" t="s">
        <v>23</v>
      </c>
      <c r="M189" s="18">
        <v>45322</v>
      </c>
      <c r="N189" s="4">
        <v>79.989999999999995</v>
      </c>
      <c r="O189" s="9">
        <f t="shared" si="3"/>
        <v>14</v>
      </c>
      <c r="X189" s="9" t="str">
        <f>UPPER(LEFT(D189,1)&amp;MID(D189,FIND(" ",D189)+1,1))</f>
        <v>DW</v>
      </c>
    </row>
    <row r="190" spans="1:24" ht="15.75" customHeight="1" thickBot="1" x14ac:dyDescent="0.4">
      <c r="A190" s="17" t="s">
        <v>397</v>
      </c>
      <c r="B190" s="18">
        <v>45670</v>
      </c>
      <c r="C190" s="17" t="s">
        <v>148</v>
      </c>
      <c r="D190" s="17" t="s">
        <v>149</v>
      </c>
      <c r="E190" s="17" t="s">
        <v>167</v>
      </c>
      <c r="F190" s="17" t="s">
        <v>168</v>
      </c>
      <c r="G190" s="17" t="s">
        <v>47</v>
      </c>
      <c r="H190" s="19">
        <v>1</v>
      </c>
      <c r="I190" s="19">
        <v>299.99</v>
      </c>
      <c r="J190" s="17" t="s">
        <v>27</v>
      </c>
      <c r="K190" s="17" t="s">
        <v>41</v>
      </c>
      <c r="L190" s="17" t="s">
        <v>23</v>
      </c>
      <c r="M190" s="18">
        <v>44436</v>
      </c>
      <c r="N190" s="4">
        <v>299.99</v>
      </c>
      <c r="O190" s="9">
        <f t="shared" si="3"/>
        <v>26</v>
      </c>
      <c r="X190" s="9" t="str">
        <f>UPPER(LEFT(D190,1)&amp;MID(D190,FIND(" ",D190)+1,1))</f>
        <v>MC</v>
      </c>
    </row>
    <row r="191" spans="1:24" ht="15.75" customHeight="1" thickBot="1" x14ac:dyDescent="0.4">
      <c r="A191" s="17" t="s">
        <v>398</v>
      </c>
      <c r="B191" s="18">
        <v>45671</v>
      </c>
      <c r="C191" s="17" t="s">
        <v>220</v>
      </c>
      <c r="D191" s="17" t="s">
        <v>221</v>
      </c>
      <c r="E191" s="17" t="s">
        <v>18</v>
      </c>
      <c r="F191" s="17" t="s">
        <v>19</v>
      </c>
      <c r="G191" s="17" t="s">
        <v>20</v>
      </c>
      <c r="H191" s="19">
        <v>4</v>
      </c>
      <c r="I191" s="19">
        <v>249.99</v>
      </c>
      <c r="J191" s="17" t="s">
        <v>27</v>
      </c>
      <c r="K191" s="17" t="s">
        <v>41</v>
      </c>
      <c r="L191" s="17" t="s">
        <v>28</v>
      </c>
      <c r="M191" s="18">
        <v>44460</v>
      </c>
      <c r="N191" s="4">
        <v>999.96</v>
      </c>
      <c r="O191" s="9">
        <f t="shared" si="3"/>
        <v>26</v>
      </c>
      <c r="X191" s="9" t="str">
        <f>UPPER(LEFT(D191,1)&amp;MID(D191,FIND(" ",D191)+1,1))</f>
        <v>BC</v>
      </c>
    </row>
    <row r="192" spans="1:24" ht="15.75" customHeight="1" thickBot="1" x14ac:dyDescent="0.4">
      <c r="A192" s="17" t="s">
        <v>399</v>
      </c>
      <c r="B192" s="18">
        <v>45671</v>
      </c>
      <c r="C192" s="17" t="s">
        <v>182</v>
      </c>
      <c r="D192" s="17" t="s">
        <v>183</v>
      </c>
      <c r="E192" s="17" t="s">
        <v>53</v>
      </c>
      <c r="F192" s="17" t="s">
        <v>54</v>
      </c>
      <c r="G192" s="17" t="s">
        <v>20</v>
      </c>
      <c r="H192" s="19">
        <v>2</v>
      </c>
      <c r="I192" s="19">
        <v>149.99</v>
      </c>
      <c r="J192" s="17" t="s">
        <v>21</v>
      </c>
      <c r="K192" s="17" t="s">
        <v>41</v>
      </c>
      <c r="L192" s="17" t="s">
        <v>37</v>
      </c>
      <c r="M192" s="18">
        <v>44913</v>
      </c>
      <c r="N192" s="4">
        <v>299.98</v>
      </c>
      <c r="O192" s="9">
        <f t="shared" si="3"/>
        <v>16</v>
      </c>
      <c r="X192" s="9" t="str">
        <f>UPPER(LEFT(D192,1)&amp;MID(D192,FIND(" ",D192)+1,1))</f>
        <v>HR</v>
      </c>
    </row>
    <row r="193" spans="1:24" ht="15.75" customHeight="1" thickBot="1" x14ac:dyDescent="0.4">
      <c r="A193" s="17" t="s">
        <v>400</v>
      </c>
      <c r="B193" s="18">
        <v>45671</v>
      </c>
      <c r="C193" s="17" t="s">
        <v>296</v>
      </c>
      <c r="D193" s="17" t="s">
        <v>297</v>
      </c>
      <c r="E193" s="17" t="s">
        <v>167</v>
      </c>
      <c r="F193" s="17" t="s">
        <v>168</v>
      </c>
      <c r="G193" s="17" t="s">
        <v>47</v>
      </c>
      <c r="H193" s="19">
        <v>3</v>
      </c>
      <c r="I193" s="19">
        <v>299.99</v>
      </c>
      <c r="J193" s="17" t="s">
        <v>27</v>
      </c>
      <c r="K193" s="17" t="s">
        <v>36</v>
      </c>
      <c r="L193" s="17" t="s">
        <v>23</v>
      </c>
      <c r="M193" s="18">
        <v>45204</v>
      </c>
      <c r="N193" s="4">
        <v>899.97</v>
      </c>
      <c r="O193" s="9">
        <f t="shared" si="3"/>
        <v>26</v>
      </c>
      <c r="X193" s="9" t="str">
        <f>UPPER(LEFT(D193,1)&amp;MID(D193,FIND(" ",D193)+1,1))</f>
        <v>SP</v>
      </c>
    </row>
    <row r="194" spans="1:24" ht="15.75" customHeight="1" thickBot="1" x14ac:dyDescent="0.4">
      <c r="A194" s="17" t="s">
        <v>401</v>
      </c>
      <c r="B194" s="18">
        <v>45673</v>
      </c>
      <c r="C194" s="17" t="s">
        <v>288</v>
      </c>
      <c r="D194" s="17" t="s">
        <v>289</v>
      </c>
      <c r="E194" s="17" t="s">
        <v>188</v>
      </c>
      <c r="F194" s="17" t="s">
        <v>189</v>
      </c>
      <c r="G194" s="17" t="s">
        <v>47</v>
      </c>
      <c r="H194" s="19">
        <v>4</v>
      </c>
      <c r="I194" s="19">
        <v>199.99</v>
      </c>
      <c r="J194" s="17" t="s">
        <v>58</v>
      </c>
      <c r="K194" s="17" t="s">
        <v>36</v>
      </c>
      <c r="L194" s="17" t="s">
        <v>37</v>
      </c>
      <c r="M194" s="18">
        <v>44544</v>
      </c>
      <c r="N194" s="4">
        <v>799.96</v>
      </c>
      <c r="O194" s="9">
        <f t="shared" si="3"/>
        <v>15</v>
      </c>
      <c r="X194" s="9" t="str">
        <f>UPPER(LEFT(D194,1)&amp;MID(D194,FIND(" ",D194)+1,1))</f>
        <v>LR</v>
      </c>
    </row>
    <row r="195" spans="1:24" ht="15.75" customHeight="1" thickBot="1" x14ac:dyDescent="0.4">
      <c r="A195" s="17" t="s">
        <v>402</v>
      </c>
      <c r="B195" s="18">
        <v>45673</v>
      </c>
      <c r="C195" s="17" t="s">
        <v>273</v>
      </c>
      <c r="D195" s="17" t="s">
        <v>274</v>
      </c>
      <c r="E195" s="17" t="s">
        <v>167</v>
      </c>
      <c r="F195" s="17" t="s">
        <v>168</v>
      </c>
      <c r="G195" s="17" t="s">
        <v>47</v>
      </c>
      <c r="H195" s="19">
        <v>5</v>
      </c>
      <c r="I195" s="19">
        <v>299.99</v>
      </c>
      <c r="J195" s="17" t="s">
        <v>58</v>
      </c>
      <c r="K195" s="17" t="s">
        <v>22</v>
      </c>
      <c r="L195" s="17" t="s">
        <v>23</v>
      </c>
      <c r="M195" s="18">
        <v>44431</v>
      </c>
      <c r="N195" s="4">
        <v>1499.95</v>
      </c>
      <c r="O195" s="9">
        <f t="shared" ref="O195:O251" si="4">COUNTIF($F:$F,F195)</f>
        <v>26</v>
      </c>
      <c r="X195" s="9" t="str">
        <f>UPPER(LEFT(D195,1)&amp;MID(D195,FIND(" ",D195)+1,1))</f>
        <v>EH</v>
      </c>
    </row>
    <row r="196" spans="1:24" ht="15.75" customHeight="1" thickBot="1" x14ac:dyDescent="0.4">
      <c r="A196" s="17" t="s">
        <v>403</v>
      </c>
      <c r="B196" s="18">
        <v>45673</v>
      </c>
      <c r="C196" s="17" t="s">
        <v>60</v>
      </c>
      <c r="D196" s="17" t="s">
        <v>61</v>
      </c>
      <c r="E196" s="17" t="s">
        <v>45</v>
      </c>
      <c r="F196" s="17" t="s">
        <v>46</v>
      </c>
      <c r="G196" s="17" t="s">
        <v>47</v>
      </c>
      <c r="H196" s="19">
        <v>3</v>
      </c>
      <c r="I196" s="19">
        <v>149.99</v>
      </c>
      <c r="J196" s="17" t="s">
        <v>27</v>
      </c>
      <c r="K196" s="17" t="s">
        <v>64</v>
      </c>
      <c r="L196" s="17" t="s">
        <v>37</v>
      </c>
      <c r="M196" s="18">
        <v>44395</v>
      </c>
      <c r="N196" s="4">
        <v>449.97</v>
      </c>
      <c r="O196" s="9">
        <f t="shared" si="4"/>
        <v>35</v>
      </c>
      <c r="X196" s="9" t="str">
        <f>UPPER(LEFT(D196,1)&amp;MID(D196,FIND(" ",D196)+1,1))</f>
        <v>RT</v>
      </c>
    </row>
    <row r="197" spans="1:24" ht="15.75" customHeight="1" thickBot="1" x14ac:dyDescent="0.4">
      <c r="A197" s="17" t="s">
        <v>404</v>
      </c>
      <c r="B197" s="18">
        <v>45676</v>
      </c>
      <c r="C197" s="17" t="s">
        <v>191</v>
      </c>
      <c r="D197" s="17" t="s">
        <v>192</v>
      </c>
      <c r="E197" s="17" t="s">
        <v>32</v>
      </c>
      <c r="F197" s="17" t="s">
        <v>33</v>
      </c>
      <c r="G197" s="17" t="s">
        <v>34</v>
      </c>
      <c r="H197" s="19">
        <v>5</v>
      </c>
      <c r="I197" s="19">
        <v>59.99</v>
      </c>
      <c r="J197" s="17" t="s">
        <v>58</v>
      </c>
      <c r="K197" s="17" t="s">
        <v>64</v>
      </c>
      <c r="L197" s="17" t="s">
        <v>23</v>
      </c>
      <c r="M197" s="18">
        <v>44642</v>
      </c>
      <c r="N197" s="4">
        <v>299.95</v>
      </c>
      <c r="O197" s="9">
        <f t="shared" si="4"/>
        <v>29</v>
      </c>
      <c r="X197" s="9" t="str">
        <f>UPPER(LEFT(D197,1)&amp;MID(D197,FIND(" ",D197)+1,1))</f>
        <v>LA</v>
      </c>
    </row>
    <row r="198" spans="1:24" ht="15.75" customHeight="1" thickBot="1" x14ac:dyDescent="0.4">
      <c r="A198" s="17" t="s">
        <v>405</v>
      </c>
      <c r="B198" s="18">
        <v>45682</v>
      </c>
      <c r="C198" s="17" t="s">
        <v>130</v>
      </c>
      <c r="D198" s="17" t="s">
        <v>131</v>
      </c>
      <c r="E198" s="17" t="s">
        <v>32</v>
      </c>
      <c r="F198" s="17" t="s">
        <v>33</v>
      </c>
      <c r="G198" s="17" t="s">
        <v>34</v>
      </c>
      <c r="H198" s="19">
        <v>4</v>
      </c>
      <c r="I198" s="19">
        <v>59.99</v>
      </c>
      <c r="J198" s="17" t="s">
        <v>58</v>
      </c>
      <c r="K198" s="17" t="s">
        <v>64</v>
      </c>
      <c r="L198" s="17" t="s">
        <v>37</v>
      </c>
      <c r="M198" s="18">
        <v>44564</v>
      </c>
      <c r="N198" s="4">
        <v>239.96</v>
      </c>
      <c r="O198" s="9">
        <f t="shared" si="4"/>
        <v>29</v>
      </c>
      <c r="X198" s="9" t="str">
        <f>UPPER(LEFT(D198,1)&amp;MID(D198,FIND(" ",D198)+1,1))</f>
        <v>SG</v>
      </c>
    </row>
    <row r="199" spans="1:24" ht="15.75" customHeight="1" thickBot="1" x14ac:dyDescent="0.4">
      <c r="A199" s="17" t="s">
        <v>406</v>
      </c>
      <c r="B199" s="18">
        <v>45683</v>
      </c>
      <c r="C199" s="17" t="s">
        <v>49</v>
      </c>
      <c r="D199" s="17" t="s">
        <v>50</v>
      </c>
      <c r="E199" s="17" t="s">
        <v>18</v>
      </c>
      <c r="F199" s="17" t="s">
        <v>19</v>
      </c>
      <c r="G199" s="17" t="s">
        <v>20</v>
      </c>
      <c r="H199" s="19">
        <v>4</v>
      </c>
      <c r="I199" s="19">
        <v>249.99</v>
      </c>
      <c r="J199" s="17" t="s">
        <v>58</v>
      </c>
      <c r="K199" s="17" t="s">
        <v>22</v>
      </c>
      <c r="L199" s="17" t="s">
        <v>28</v>
      </c>
      <c r="M199" s="18">
        <v>45217</v>
      </c>
      <c r="N199" s="4">
        <v>999.96</v>
      </c>
      <c r="O199" s="9">
        <f t="shared" si="4"/>
        <v>26</v>
      </c>
      <c r="X199" s="9" t="str">
        <f>UPPER(LEFT(D199,1)&amp;MID(D199,FIND(" ",D199)+1,1))</f>
        <v>DN</v>
      </c>
    </row>
    <row r="200" spans="1:24" ht="15.75" customHeight="1" thickBot="1" x14ac:dyDescent="0.4">
      <c r="A200" s="17" t="s">
        <v>407</v>
      </c>
      <c r="B200" s="18">
        <v>45686</v>
      </c>
      <c r="C200" s="17" t="s">
        <v>314</v>
      </c>
      <c r="D200" s="17" t="s">
        <v>315</v>
      </c>
      <c r="E200" s="17" t="s">
        <v>62</v>
      </c>
      <c r="F200" s="17" t="s">
        <v>63</v>
      </c>
      <c r="G200" s="17" t="s">
        <v>20</v>
      </c>
      <c r="H200" s="19">
        <v>4</v>
      </c>
      <c r="I200" s="19">
        <v>899.99</v>
      </c>
      <c r="J200" s="17" t="s">
        <v>35</v>
      </c>
      <c r="K200" s="17" t="s">
        <v>22</v>
      </c>
      <c r="L200" s="17" t="s">
        <v>23</v>
      </c>
      <c r="M200" s="18">
        <v>44734</v>
      </c>
      <c r="N200" s="4">
        <v>3599.96</v>
      </c>
      <c r="O200" s="9">
        <f t="shared" si="4"/>
        <v>24</v>
      </c>
      <c r="X200" s="9" t="str">
        <f>UPPER(LEFT(D200,1)&amp;MID(D200,FIND(" ",D200)+1,1))</f>
        <v>WW</v>
      </c>
    </row>
    <row r="201" spans="1:24" ht="15.75" customHeight="1" thickBot="1" x14ac:dyDescent="0.4">
      <c r="A201" s="17" t="s">
        <v>408</v>
      </c>
      <c r="B201" s="18">
        <v>45686</v>
      </c>
      <c r="C201" s="17" t="s">
        <v>148</v>
      </c>
      <c r="D201" s="17" t="s">
        <v>149</v>
      </c>
      <c r="E201" s="17" t="s">
        <v>167</v>
      </c>
      <c r="F201" s="17" t="s">
        <v>168</v>
      </c>
      <c r="G201" s="17" t="s">
        <v>47</v>
      </c>
      <c r="H201" s="19">
        <v>3</v>
      </c>
      <c r="I201" s="19">
        <v>299.99</v>
      </c>
      <c r="J201" s="17" t="s">
        <v>58</v>
      </c>
      <c r="K201" s="17" t="s">
        <v>51</v>
      </c>
      <c r="L201" s="17" t="s">
        <v>37</v>
      </c>
      <c r="M201" s="18">
        <v>44952</v>
      </c>
      <c r="N201" s="4">
        <v>899.97</v>
      </c>
      <c r="O201" s="9">
        <f t="shared" si="4"/>
        <v>26</v>
      </c>
      <c r="X201" s="9" t="str">
        <f>UPPER(LEFT(D201,1)&amp;MID(D201,FIND(" ",D201)+1,1))</f>
        <v>MC</v>
      </c>
    </row>
    <row r="202" spans="1:24" ht="15.75" customHeight="1" thickBot="1" x14ac:dyDescent="0.4">
      <c r="A202" s="17" t="s">
        <v>409</v>
      </c>
      <c r="B202" s="18">
        <v>45686</v>
      </c>
      <c r="C202" s="17" t="s">
        <v>355</v>
      </c>
      <c r="D202" s="17" t="s">
        <v>356</v>
      </c>
      <c r="E202" s="17" t="s">
        <v>142</v>
      </c>
      <c r="F202" s="17" t="s">
        <v>143</v>
      </c>
      <c r="G202" s="17" t="s">
        <v>20</v>
      </c>
      <c r="H202" s="19">
        <v>2</v>
      </c>
      <c r="I202" s="19">
        <v>699.99</v>
      </c>
      <c r="J202" s="17" t="s">
        <v>58</v>
      </c>
      <c r="K202" s="17" t="s">
        <v>22</v>
      </c>
      <c r="L202" s="17" t="s">
        <v>28</v>
      </c>
      <c r="M202" s="18">
        <v>44681</v>
      </c>
      <c r="N202" s="4">
        <v>1399.98</v>
      </c>
      <c r="O202" s="9">
        <f t="shared" si="4"/>
        <v>31</v>
      </c>
      <c r="X202" s="9" t="str">
        <f>UPPER(LEFT(D202,1)&amp;MID(D202,FIND(" ",D202)+1,1))</f>
        <v>DW</v>
      </c>
    </row>
    <row r="203" spans="1:24" ht="15.75" customHeight="1" thickBot="1" x14ac:dyDescent="0.4">
      <c r="A203" s="17" t="s">
        <v>410</v>
      </c>
      <c r="B203" s="18">
        <v>45688</v>
      </c>
      <c r="C203" s="17" t="s">
        <v>127</v>
      </c>
      <c r="D203" s="17" t="s">
        <v>128</v>
      </c>
      <c r="E203" s="17" t="s">
        <v>142</v>
      </c>
      <c r="F203" s="17" t="s">
        <v>143</v>
      </c>
      <c r="G203" s="17" t="s">
        <v>20</v>
      </c>
      <c r="H203" s="19">
        <v>4</v>
      </c>
      <c r="I203" s="19">
        <v>699.99</v>
      </c>
      <c r="J203" s="17" t="s">
        <v>58</v>
      </c>
      <c r="K203" s="17" t="s">
        <v>51</v>
      </c>
      <c r="L203" s="17" t="s">
        <v>28</v>
      </c>
      <c r="M203" s="18">
        <v>44692</v>
      </c>
      <c r="N203" s="4">
        <v>2799.96</v>
      </c>
      <c r="O203" s="9">
        <f t="shared" si="4"/>
        <v>31</v>
      </c>
      <c r="X203" s="9" t="str">
        <f>UPPER(LEFT(D203,1)&amp;MID(D203,FIND(" ",D203)+1,1))</f>
        <v>KH</v>
      </c>
    </row>
    <row r="204" spans="1:24" ht="15.75" customHeight="1" thickBot="1" x14ac:dyDescent="0.4">
      <c r="A204" s="17" t="s">
        <v>411</v>
      </c>
      <c r="B204" s="18">
        <v>45688</v>
      </c>
      <c r="C204" s="17" t="s">
        <v>185</v>
      </c>
      <c r="D204" s="17" t="s">
        <v>186</v>
      </c>
      <c r="E204" s="17" t="s">
        <v>179</v>
      </c>
      <c r="F204" s="17" t="s">
        <v>180</v>
      </c>
      <c r="G204" s="17" t="s">
        <v>20</v>
      </c>
      <c r="H204" s="19">
        <v>2</v>
      </c>
      <c r="I204" s="19">
        <v>89.99</v>
      </c>
      <c r="J204" s="17" t="s">
        <v>58</v>
      </c>
      <c r="K204" s="17" t="s">
        <v>36</v>
      </c>
      <c r="L204" s="17" t="s">
        <v>23</v>
      </c>
      <c r="M204" s="18">
        <v>44777</v>
      </c>
      <c r="N204" s="4">
        <v>179.98</v>
      </c>
      <c r="O204" s="9">
        <f t="shared" si="4"/>
        <v>34</v>
      </c>
      <c r="X204" s="9" t="str">
        <f>UPPER(LEFT(D204,1)&amp;MID(D204,FIND(" ",D204)+1,1))</f>
        <v>EM</v>
      </c>
    </row>
    <row r="205" spans="1:24" ht="15.75" customHeight="1" thickBot="1" x14ac:dyDescent="0.4">
      <c r="A205" s="17" t="s">
        <v>412</v>
      </c>
      <c r="B205" s="18">
        <v>45688</v>
      </c>
      <c r="C205" s="17" t="s">
        <v>43</v>
      </c>
      <c r="D205" s="17" t="s">
        <v>44</v>
      </c>
      <c r="E205" s="17" t="s">
        <v>179</v>
      </c>
      <c r="F205" s="17" t="s">
        <v>180</v>
      </c>
      <c r="G205" s="17" t="s">
        <v>20</v>
      </c>
      <c r="H205" s="19">
        <v>3</v>
      </c>
      <c r="I205" s="19">
        <v>89.99</v>
      </c>
      <c r="J205" s="17" t="s">
        <v>58</v>
      </c>
      <c r="K205" s="17" t="s">
        <v>36</v>
      </c>
      <c r="L205" s="17" t="s">
        <v>28</v>
      </c>
      <c r="M205" s="18">
        <v>45307</v>
      </c>
      <c r="N205" s="4">
        <v>269.97000000000003</v>
      </c>
      <c r="O205" s="9">
        <f t="shared" si="4"/>
        <v>34</v>
      </c>
      <c r="X205" s="9" t="str">
        <f>UPPER(LEFT(D205,1)&amp;MID(D205,FIND(" ",D205)+1,1))</f>
        <v>MB</v>
      </c>
    </row>
    <row r="206" spans="1:24" ht="15.75" customHeight="1" thickBot="1" x14ac:dyDescent="0.4">
      <c r="A206" s="17" t="s">
        <v>413</v>
      </c>
      <c r="B206" s="18">
        <v>45692</v>
      </c>
      <c r="C206" s="17" t="s">
        <v>387</v>
      </c>
      <c r="D206" s="17" t="s">
        <v>388</v>
      </c>
      <c r="E206" s="17" t="s">
        <v>32</v>
      </c>
      <c r="F206" s="17" t="s">
        <v>33</v>
      </c>
      <c r="G206" s="17" t="s">
        <v>34</v>
      </c>
      <c r="H206" s="19">
        <v>1</v>
      </c>
      <c r="I206" s="19">
        <v>59.99</v>
      </c>
      <c r="J206" s="17" t="s">
        <v>58</v>
      </c>
      <c r="K206" s="17" t="s">
        <v>22</v>
      </c>
      <c r="L206" s="17" t="s">
        <v>37</v>
      </c>
      <c r="M206" s="18">
        <v>45045</v>
      </c>
      <c r="N206" s="4">
        <v>59.99</v>
      </c>
      <c r="O206" s="9">
        <f t="shared" si="4"/>
        <v>29</v>
      </c>
      <c r="X206" s="9" t="str">
        <f>UPPER(LEFT(D206,1)&amp;MID(D206,FIND(" ",D206)+1,1))</f>
        <v>AE</v>
      </c>
    </row>
    <row r="207" spans="1:24" ht="15.75" customHeight="1" thickBot="1" x14ac:dyDescent="0.4">
      <c r="A207" s="17" t="s">
        <v>414</v>
      </c>
      <c r="B207" s="18">
        <v>45695</v>
      </c>
      <c r="C207" s="17" t="s">
        <v>308</v>
      </c>
      <c r="D207" s="17" t="s">
        <v>309</v>
      </c>
      <c r="E207" s="17" t="s">
        <v>45</v>
      </c>
      <c r="F207" s="17" t="s">
        <v>46</v>
      </c>
      <c r="G207" s="17" t="s">
        <v>47</v>
      </c>
      <c r="H207" s="19">
        <v>3</v>
      </c>
      <c r="I207" s="19">
        <v>149.99</v>
      </c>
      <c r="J207" s="17" t="s">
        <v>58</v>
      </c>
      <c r="K207" s="17" t="s">
        <v>41</v>
      </c>
      <c r="L207" s="17" t="s">
        <v>28</v>
      </c>
      <c r="M207" s="18">
        <v>44564</v>
      </c>
      <c r="N207" s="4">
        <v>449.97</v>
      </c>
      <c r="O207" s="9">
        <f t="shared" si="4"/>
        <v>35</v>
      </c>
      <c r="X207" s="9" t="str">
        <f>UPPER(LEFT(D207,1)&amp;MID(D207,FIND(" ",D207)+1,1))</f>
        <v>RB</v>
      </c>
    </row>
    <row r="208" spans="1:24" ht="15.75" customHeight="1" thickBot="1" x14ac:dyDescent="0.4">
      <c r="A208" s="17" t="s">
        <v>415</v>
      </c>
      <c r="B208" s="18">
        <v>45695</v>
      </c>
      <c r="C208" s="17" t="s">
        <v>155</v>
      </c>
      <c r="D208" s="17" t="s">
        <v>156</v>
      </c>
      <c r="E208" s="17" t="s">
        <v>167</v>
      </c>
      <c r="F208" s="17" t="s">
        <v>168</v>
      </c>
      <c r="G208" s="17" t="s">
        <v>47</v>
      </c>
      <c r="H208" s="19">
        <v>5</v>
      </c>
      <c r="I208" s="19">
        <v>299.99</v>
      </c>
      <c r="J208" s="17" t="s">
        <v>27</v>
      </c>
      <c r="K208" s="17" t="s">
        <v>36</v>
      </c>
      <c r="L208" s="17" t="s">
        <v>23</v>
      </c>
      <c r="M208" s="18">
        <v>44959</v>
      </c>
      <c r="N208" s="4">
        <v>1499.95</v>
      </c>
      <c r="O208" s="9">
        <f t="shared" si="4"/>
        <v>26</v>
      </c>
      <c r="X208" s="9" t="str">
        <f>UPPER(LEFT(D208,1)&amp;MID(D208,FIND(" ",D208)+1,1))</f>
        <v>VS</v>
      </c>
    </row>
    <row r="209" spans="1:24" ht="15.75" customHeight="1" thickBot="1" x14ac:dyDescent="0.4">
      <c r="A209" s="17" t="s">
        <v>416</v>
      </c>
      <c r="B209" s="18">
        <v>45696</v>
      </c>
      <c r="C209" s="17" t="s">
        <v>212</v>
      </c>
      <c r="D209" s="17" t="s">
        <v>213</v>
      </c>
      <c r="E209" s="17" t="s">
        <v>32</v>
      </c>
      <c r="F209" s="17" t="s">
        <v>33</v>
      </c>
      <c r="G209" s="17" t="s">
        <v>34</v>
      </c>
      <c r="H209" s="19">
        <v>5</v>
      </c>
      <c r="I209" s="19">
        <v>59.99</v>
      </c>
      <c r="J209" s="17" t="s">
        <v>58</v>
      </c>
      <c r="K209" s="17" t="s">
        <v>22</v>
      </c>
      <c r="L209" s="17" t="s">
        <v>37</v>
      </c>
      <c r="M209" s="18">
        <v>45177</v>
      </c>
      <c r="N209" s="4">
        <v>299.95</v>
      </c>
      <c r="O209" s="9">
        <f t="shared" si="4"/>
        <v>29</v>
      </c>
      <c r="X209" s="9" t="str">
        <f>UPPER(LEFT(D209,1)&amp;MID(D209,FIND(" ",D209)+1,1))</f>
        <v>SB</v>
      </c>
    </row>
    <row r="210" spans="1:24" ht="15.75" customHeight="1" thickBot="1" x14ac:dyDescent="0.4">
      <c r="A210" s="17" t="s">
        <v>417</v>
      </c>
      <c r="B210" s="18">
        <v>45701</v>
      </c>
      <c r="C210" s="17" t="s">
        <v>170</v>
      </c>
      <c r="D210" s="17" t="s">
        <v>171</v>
      </c>
      <c r="E210" s="17" t="s">
        <v>176</v>
      </c>
      <c r="F210" s="17" t="s">
        <v>177</v>
      </c>
      <c r="G210" s="17" t="s">
        <v>34</v>
      </c>
      <c r="H210" s="19">
        <v>3</v>
      </c>
      <c r="I210" s="19">
        <v>79.989999999999995</v>
      </c>
      <c r="J210" s="17" t="s">
        <v>21</v>
      </c>
      <c r="K210" s="17" t="s">
        <v>64</v>
      </c>
      <c r="L210" s="17" t="s">
        <v>28</v>
      </c>
      <c r="M210" s="18">
        <v>44436</v>
      </c>
      <c r="N210" s="4">
        <v>239.97</v>
      </c>
      <c r="O210" s="9">
        <f t="shared" si="4"/>
        <v>14</v>
      </c>
      <c r="X210" s="9" t="str">
        <f>UPPER(LEFT(D210,1)&amp;MID(D210,FIND(" ",D210)+1,1))</f>
        <v>NC</v>
      </c>
    </row>
    <row r="211" spans="1:24" ht="15.75" customHeight="1" thickBot="1" x14ac:dyDescent="0.4">
      <c r="A211" s="17" t="s">
        <v>418</v>
      </c>
      <c r="B211" s="18">
        <v>45704</v>
      </c>
      <c r="C211" s="17" t="s">
        <v>30</v>
      </c>
      <c r="D211" s="17" t="s">
        <v>31</v>
      </c>
      <c r="E211" s="17" t="s">
        <v>188</v>
      </c>
      <c r="F211" s="17" t="s">
        <v>189</v>
      </c>
      <c r="G211" s="17" t="s">
        <v>47</v>
      </c>
      <c r="H211" s="19">
        <v>3</v>
      </c>
      <c r="I211" s="19">
        <v>199.99</v>
      </c>
      <c r="J211" s="17" t="s">
        <v>21</v>
      </c>
      <c r="K211" s="17" t="s">
        <v>22</v>
      </c>
      <c r="L211" s="17" t="s">
        <v>23</v>
      </c>
      <c r="M211" s="18">
        <v>44735</v>
      </c>
      <c r="N211" s="4">
        <v>599.97</v>
      </c>
      <c r="O211" s="9">
        <f t="shared" si="4"/>
        <v>15</v>
      </c>
      <c r="X211" s="9" t="str">
        <f>UPPER(LEFT(D211,1)&amp;MID(D211,FIND(" ",D211)+1,1))</f>
        <v>KS</v>
      </c>
    </row>
    <row r="212" spans="1:24" ht="15.75" customHeight="1" thickBot="1" x14ac:dyDescent="0.4">
      <c r="A212" s="17" t="s">
        <v>419</v>
      </c>
      <c r="B212" s="18">
        <v>45704</v>
      </c>
      <c r="C212" s="17" t="s">
        <v>16</v>
      </c>
      <c r="D212" s="17" t="s">
        <v>17</v>
      </c>
      <c r="E212" s="17" t="s">
        <v>179</v>
      </c>
      <c r="F212" s="17" t="s">
        <v>180</v>
      </c>
      <c r="G212" s="17" t="s">
        <v>20</v>
      </c>
      <c r="H212" s="19">
        <v>2</v>
      </c>
      <c r="I212" s="19">
        <v>89.99</v>
      </c>
      <c r="J212" s="17" t="s">
        <v>35</v>
      </c>
      <c r="K212" s="17" t="s">
        <v>22</v>
      </c>
      <c r="L212" s="17" t="s">
        <v>23</v>
      </c>
      <c r="M212" s="18">
        <v>45257</v>
      </c>
      <c r="N212" s="4">
        <v>179.98</v>
      </c>
      <c r="O212" s="9">
        <f t="shared" si="4"/>
        <v>34</v>
      </c>
      <c r="X212" s="9" t="str">
        <f>UPPER(LEFT(D212,1)&amp;MID(D212,FIND(" ",D212)+1,1))</f>
        <v>PB</v>
      </c>
    </row>
    <row r="213" spans="1:24" ht="15.75" customHeight="1" thickBot="1" x14ac:dyDescent="0.4">
      <c r="A213" s="17" t="s">
        <v>420</v>
      </c>
      <c r="B213" s="18">
        <v>45705</v>
      </c>
      <c r="C213" s="17" t="s">
        <v>321</v>
      </c>
      <c r="D213" s="17" t="s">
        <v>322</v>
      </c>
      <c r="E213" s="17" t="s">
        <v>45</v>
      </c>
      <c r="F213" s="17" t="s">
        <v>46</v>
      </c>
      <c r="G213" s="17" t="s">
        <v>47</v>
      </c>
      <c r="H213" s="19">
        <v>2</v>
      </c>
      <c r="I213" s="19">
        <v>149.99</v>
      </c>
      <c r="J213" s="17" t="s">
        <v>21</v>
      </c>
      <c r="K213" s="17" t="s">
        <v>36</v>
      </c>
      <c r="L213" s="17" t="s">
        <v>28</v>
      </c>
      <c r="M213" s="18">
        <v>44728</v>
      </c>
      <c r="N213" s="4">
        <v>299.98</v>
      </c>
      <c r="O213" s="9">
        <f t="shared" si="4"/>
        <v>35</v>
      </c>
      <c r="X213" s="9" t="str">
        <f>UPPER(LEFT(D213,1)&amp;MID(D213,FIND(" ",D213)+1,1))</f>
        <v>RL</v>
      </c>
    </row>
    <row r="214" spans="1:24" ht="15.75" customHeight="1" thickBot="1" x14ac:dyDescent="0.4">
      <c r="A214" s="17" t="s">
        <v>421</v>
      </c>
      <c r="B214" s="18">
        <v>45707</v>
      </c>
      <c r="C214" s="17" t="s">
        <v>185</v>
      </c>
      <c r="D214" s="17" t="s">
        <v>186</v>
      </c>
      <c r="E214" s="17" t="s">
        <v>142</v>
      </c>
      <c r="F214" s="17" t="s">
        <v>143</v>
      </c>
      <c r="G214" s="17" t="s">
        <v>20</v>
      </c>
      <c r="H214" s="19">
        <v>5</v>
      </c>
      <c r="I214" s="19">
        <v>699.99</v>
      </c>
      <c r="J214" s="17" t="s">
        <v>35</v>
      </c>
      <c r="K214" s="17" t="s">
        <v>36</v>
      </c>
      <c r="L214" s="17" t="s">
        <v>28</v>
      </c>
      <c r="M214" s="18">
        <v>45352</v>
      </c>
      <c r="N214" s="4">
        <v>3499.95</v>
      </c>
      <c r="O214" s="9">
        <f t="shared" si="4"/>
        <v>31</v>
      </c>
      <c r="X214" s="9" t="str">
        <f>UPPER(LEFT(D214,1)&amp;MID(D214,FIND(" ",D214)+1,1))</f>
        <v>EM</v>
      </c>
    </row>
    <row r="215" spans="1:24" ht="15.75" customHeight="1" thickBot="1" x14ac:dyDescent="0.4">
      <c r="A215" s="17" t="s">
        <v>422</v>
      </c>
      <c r="B215" s="18">
        <v>45707</v>
      </c>
      <c r="C215" s="17" t="s">
        <v>43</v>
      </c>
      <c r="D215" s="17" t="s">
        <v>44</v>
      </c>
      <c r="E215" s="17" t="s">
        <v>45</v>
      </c>
      <c r="F215" s="17" t="s">
        <v>46</v>
      </c>
      <c r="G215" s="17" t="s">
        <v>47</v>
      </c>
      <c r="H215" s="19">
        <v>3</v>
      </c>
      <c r="I215" s="19">
        <v>149.99</v>
      </c>
      <c r="J215" s="17" t="s">
        <v>35</v>
      </c>
      <c r="K215" s="17" t="s">
        <v>22</v>
      </c>
      <c r="L215" s="17" t="s">
        <v>37</v>
      </c>
      <c r="M215" s="18">
        <v>44633</v>
      </c>
      <c r="N215" s="4">
        <v>449.97</v>
      </c>
      <c r="O215" s="9">
        <f t="shared" si="4"/>
        <v>35</v>
      </c>
      <c r="X215" s="9" t="str">
        <f>UPPER(LEFT(D215,1)&amp;MID(D215,FIND(" ",D215)+1,1))</f>
        <v>MB</v>
      </c>
    </row>
    <row r="216" spans="1:24" ht="15.75" customHeight="1" thickBot="1" x14ac:dyDescent="0.4">
      <c r="A216" s="17" t="s">
        <v>423</v>
      </c>
      <c r="B216" s="18">
        <v>45708</v>
      </c>
      <c r="C216" s="17" t="s">
        <v>158</v>
      </c>
      <c r="D216" s="17" t="s">
        <v>159</v>
      </c>
      <c r="E216" s="17" t="s">
        <v>62</v>
      </c>
      <c r="F216" s="17" t="s">
        <v>63</v>
      </c>
      <c r="G216" s="17" t="s">
        <v>20</v>
      </c>
      <c r="H216" s="19">
        <v>3</v>
      </c>
      <c r="I216" s="19">
        <v>899.99</v>
      </c>
      <c r="J216" s="17" t="s">
        <v>21</v>
      </c>
      <c r="K216" s="17" t="s">
        <v>64</v>
      </c>
      <c r="L216" s="17" t="s">
        <v>37</v>
      </c>
      <c r="M216" s="18">
        <v>44613</v>
      </c>
      <c r="N216" s="4">
        <v>2699.97</v>
      </c>
      <c r="O216" s="9">
        <f t="shared" si="4"/>
        <v>24</v>
      </c>
      <c r="X216" s="9" t="str">
        <f>UPPER(LEFT(D216,1)&amp;MID(D216,FIND(" ",D216)+1,1))</f>
        <v>BY</v>
      </c>
    </row>
    <row r="217" spans="1:24" ht="15.75" customHeight="1" thickBot="1" x14ac:dyDescent="0.4">
      <c r="A217" s="17" t="s">
        <v>424</v>
      </c>
      <c r="B217" s="18">
        <v>45708</v>
      </c>
      <c r="C217" s="17" t="s">
        <v>254</v>
      </c>
      <c r="D217" s="17" t="s">
        <v>255</v>
      </c>
      <c r="E217" s="17" t="s">
        <v>188</v>
      </c>
      <c r="F217" s="17" t="s">
        <v>189</v>
      </c>
      <c r="G217" s="17" t="s">
        <v>47</v>
      </c>
      <c r="H217" s="19">
        <v>3</v>
      </c>
      <c r="I217" s="19">
        <v>199.99</v>
      </c>
      <c r="J217" s="17" t="s">
        <v>21</v>
      </c>
      <c r="K217" s="17" t="s">
        <v>51</v>
      </c>
      <c r="L217" s="17" t="s">
        <v>28</v>
      </c>
      <c r="M217" s="18">
        <v>44823</v>
      </c>
      <c r="N217" s="4">
        <v>599.97</v>
      </c>
      <c r="O217" s="9">
        <f t="shared" si="4"/>
        <v>15</v>
      </c>
      <c r="X217" s="9" t="str">
        <f>UPPER(LEFT(D217,1)&amp;MID(D217,FIND(" ",D217)+1,1))</f>
        <v>FT</v>
      </c>
    </row>
    <row r="218" spans="1:24" ht="15.75" customHeight="1" thickBot="1" x14ac:dyDescent="0.4">
      <c r="A218" s="17" t="s">
        <v>425</v>
      </c>
      <c r="B218" s="18">
        <v>45710</v>
      </c>
      <c r="C218" s="17" t="s">
        <v>56</v>
      </c>
      <c r="D218" s="17" t="s">
        <v>57</v>
      </c>
      <c r="E218" s="17" t="s">
        <v>167</v>
      </c>
      <c r="F218" s="17" t="s">
        <v>168</v>
      </c>
      <c r="G218" s="17" t="s">
        <v>47</v>
      </c>
      <c r="H218" s="19">
        <v>5</v>
      </c>
      <c r="I218" s="19">
        <v>299.99</v>
      </c>
      <c r="J218" s="17" t="s">
        <v>21</v>
      </c>
      <c r="K218" s="17" t="s">
        <v>51</v>
      </c>
      <c r="L218" s="17" t="s">
        <v>37</v>
      </c>
      <c r="M218" s="18">
        <v>45142</v>
      </c>
      <c r="N218" s="4">
        <v>1499.95</v>
      </c>
      <c r="O218" s="9">
        <f t="shared" si="4"/>
        <v>26</v>
      </c>
      <c r="X218" s="9" t="str">
        <f>UPPER(LEFT(D218,1)&amp;MID(D218,FIND(" ",D218)+1,1))</f>
        <v>CA</v>
      </c>
    </row>
    <row r="219" spans="1:24" ht="15.75" customHeight="1" thickBot="1" x14ac:dyDescent="0.4">
      <c r="A219" s="17" t="s">
        <v>426</v>
      </c>
      <c r="B219" s="18">
        <v>45710</v>
      </c>
      <c r="C219" s="17" t="s">
        <v>212</v>
      </c>
      <c r="D219" s="17" t="s">
        <v>213</v>
      </c>
      <c r="E219" s="17" t="s">
        <v>142</v>
      </c>
      <c r="F219" s="17" t="s">
        <v>143</v>
      </c>
      <c r="G219" s="17" t="s">
        <v>20</v>
      </c>
      <c r="H219" s="19">
        <v>1</v>
      </c>
      <c r="I219" s="19">
        <v>699.99</v>
      </c>
      <c r="J219" s="17" t="s">
        <v>35</v>
      </c>
      <c r="K219" s="17" t="s">
        <v>51</v>
      </c>
      <c r="L219" s="17" t="s">
        <v>23</v>
      </c>
      <c r="M219" s="18">
        <v>44934</v>
      </c>
      <c r="N219" s="4">
        <v>699.99</v>
      </c>
      <c r="O219" s="9">
        <f t="shared" si="4"/>
        <v>31</v>
      </c>
      <c r="X219" s="9" t="str">
        <f>UPPER(LEFT(D219,1)&amp;MID(D219,FIND(" ",D219)+1,1))</f>
        <v>SB</v>
      </c>
    </row>
    <row r="220" spans="1:24" ht="15.75" customHeight="1" thickBot="1" x14ac:dyDescent="0.4">
      <c r="A220" s="17" t="s">
        <v>427</v>
      </c>
      <c r="B220" s="18">
        <v>45711</v>
      </c>
      <c r="C220" s="17" t="s">
        <v>308</v>
      </c>
      <c r="D220" s="17" t="s">
        <v>309</v>
      </c>
      <c r="E220" s="17" t="s">
        <v>142</v>
      </c>
      <c r="F220" s="17" t="s">
        <v>143</v>
      </c>
      <c r="G220" s="17" t="s">
        <v>20</v>
      </c>
      <c r="H220" s="19">
        <v>1</v>
      </c>
      <c r="I220" s="19">
        <v>699.99</v>
      </c>
      <c r="J220" s="17" t="s">
        <v>21</v>
      </c>
      <c r="K220" s="17" t="s">
        <v>41</v>
      </c>
      <c r="L220" s="17" t="s">
        <v>28</v>
      </c>
      <c r="M220" s="18">
        <v>44583</v>
      </c>
      <c r="N220" s="4">
        <v>699.99</v>
      </c>
      <c r="O220" s="9">
        <f t="shared" si="4"/>
        <v>31</v>
      </c>
      <c r="X220" s="9" t="str">
        <f>UPPER(LEFT(D220,1)&amp;MID(D220,FIND(" ",D220)+1,1))</f>
        <v>RB</v>
      </c>
    </row>
    <row r="221" spans="1:24" ht="15.75" customHeight="1" thickBot="1" x14ac:dyDescent="0.4">
      <c r="A221" s="17" t="s">
        <v>428</v>
      </c>
      <c r="B221" s="18">
        <v>45711</v>
      </c>
      <c r="C221" s="17" t="s">
        <v>387</v>
      </c>
      <c r="D221" s="17" t="s">
        <v>388</v>
      </c>
      <c r="E221" s="17" t="s">
        <v>45</v>
      </c>
      <c r="F221" s="17" t="s">
        <v>46</v>
      </c>
      <c r="G221" s="17" t="s">
        <v>47</v>
      </c>
      <c r="H221" s="19">
        <v>4</v>
      </c>
      <c r="I221" s="19">
        <v>149.99</v>
      </c>
      <c r="J221" s="17" t="s">
        <v>35</v>
      </c>
      <c r="K221" s="17" t="s">
        <v>41</v>
      </c>
      <c r="L221" s="17" t="s">
        <v>28</v>
      </c>
      <c r="M221" s="18">
        <v>44412</v>
      </c>
      <c r="N221" s="4">
        <v>599.96</v>
      </c>
      <c r="O221" s="9">
        <f t="shared" si="4"/>
        <v>35</v>
      </c>
      <c r="X221" s="9" t="str">
        <f>UPPER(LEFT(D221,1)&amp;MID(D221,FIND(" ",D221)+1,1))</f>
        <v>AE</v>
      </c>
    </row>
    <row r="222" spans="1:24" ht="15.75" customHeight="1" thickBot="1" x14ac:dyDescent="0.4">
      <c r="A222" s="17" t="s">
        <v>429</v>
      </c>
      <c r="B222" s="18">
        <v>45711</v>
      </c>
      <c r="C222" s="17" t="s">
        <v>273</v>
      </c>
      <c r="D222" s="17" t="s">
        <v>274</v>
      </c>
      <c r="E222" s="17" t="s">
        <v>179</v>
      </c>
      <c r="F222" s="17" t="s">
        <v>180</v>
      </c>
      <c r="G222" s="17" t="s">
        <v>20</v>
      </c>
      <c r="H222" s="19">
        <v>5</v>
      </c>
      <c r="I222" s="19">
        <v>89.99</v>
      </c>
      <c r="J222" s="17" t="s">
        <v>35</v>
      </c>
      <c r="K222" s="17" t="s">
        <v>51</v>
      </c>
      <c r="L222" s="17" t="s">
        <v>28</v>
      </c>
      <c r="M222" s="18">
        <v>45140</v>
      </c>
      <c r="N222" s="4">
        <v>449.95</v>
      </c>
      <c r="O222" s="9">
        <f t="shared" si="4"/>
        <v>34</v>
      </c>
      <c r="X222" s="9" t="str">
        <f>UPPER(LEFT(D222,1)&amp;MID(D222,FIND(" ",D222)+1,1))</f>
        <v>EH</v>
      </c>
    </row>
    <row r="223" spans="1:24" ht="15.75" customHeight="1" thickBot="1" x14ac:dyDescent="0.4">
      <c r="A223" s="17" t="s">
        <v>430</v>
      </c>
      <c r="B223" s="18">
        <v>45712</v>
      </c>
      <c r="C223" s="17" t="s">
        <v>200</v>
      </c>
      <c r="D223" s="17" t="s">
        <v>201</v>
      </c>
      <c r="E223" s="17" t="s">
        <v>188</v>
      </c>
      <c r="F223" s="17" t="s">
        <v>189</v>
      </c>
      <c r="G223" s="17" t="s">
        <v>47</v>
      </c>
      <c r="H223" s="19">
        <v>2</v>
      </c>
      <c r="I223" s="19">
        <v>199.99</v>
      </c>
      <c r="J223" s="17" t="s">
        <v>21</v>
      </c>
      <c r="K223" s="17" t="s">
        <v>22</v>
      </c>
      <c r="L223" s="17" t="s">
        <v>28</v>
      </c>
      <c r="M223" s="18">
        <v>44573</v>
      </c>
      <c r="N223" s="4">
        <v>399.98</v>
      </c>
      <c r="O223" s="9">
        <f t="shared" si="4"/>
        <v>15</v>
      </c>
      <c r="X223" s="9" t="str">
        <f>UPPER(LEFT(D223,1)&amp;MID(D223,FIND(" ",D223)+1,1))</f>
        <v>ST</v>
      </c>
    </row>
    <row r="224" spans="1:24" ht="15.75" customHeight="1" thickBot="1" x14ac:dyDescent="0.4">
      <c r="A224" s="17" t="s">
        <v>431</v>
      </c>
      <c r="B224" s="18">
        <v>45715</v>
      </c>
      <c r="C224" s="17" t="s">
        <v>321</v>
      </c>
      <c r="D224" s="17" t="s">
        <v>322</v>
      </c>
      <c r="E224" s="17" t="s">
        <v>32</v>
      </c>
      <c r="F224" s="17" t="s">
        <v>33</v>
      </c>
      <c r="G224" s="17" t="s">
        <v>34</v>
      </c>
      <c r="H224" s="19">
        <v>4</v>
      </c>
      <c r="I224" s="19">
        <v>59.99</v>
      </c>
      <c r="J224" s="17" t="s">
        <v>21</v>
      </c>
      <c r="K224" s="17" t="s">
        <v>51</v>
      </c>
      <c r="L224" s="17" t="s">
        <v>37</v>
      </c>
      <c r="M224" s="18">
        <v>45070</v>
      </c>
      <c r="N224" s="4">
        <v>239.96</v>
      </c>
      <c r="O224" s="9">
        <f t="shared" si="4"/>
        <v>29</v>
      </c>
      <c r="X224" s="9" t="str">
        <f>UPPER(LEFT(D224,1)&amp;MID(D224,FIND(" ",D224)+1,1))</f>
        <v>RL</v>
      </c>
    </row>
    <row r="225" spans="1:24" ht="15.75" customHeight="1" thickBot="1" x14ac:dyDescent="0.4">
      <c r="A225" s="17" t="s">
        <v>432</v>
      </c>
      <c r="B225" s="18">
        <v>45715</v>
      </c>
      <c r="C225" s="17" t="s">
        <v>155</v>
      </c>
      <c r="D225" s="17" t="s">
        <v>156</v>
      </c>
      <c r="E225" s="17" t="s">
        <v>167</v>
      </c>
      <c r="F225" s="17" t="s">
        <v>168</v>
      </c>
      <c r="G225" s="17" t="s">
        <v>47</v>
      </c>
      <c r="H225" s="19">
        <v>2</v>
      </c>
      <c r="I225" s="19">
        <v>299.99</v>
      </c>
      <c r="J225" s="17" t="s">
        <v>35</v>
      </c>
      <c r="K225" s="17" t="s">
        <v>36</v>
      </c>
      <c r="L225" s="17" t="s">
        <v>23</v>
      </c>
      <c r="M225" s="18">
        <v>44576</v>
      </c>
      <c r="N225" s="4">
        <v>599.98</v>
      </c>
      <c r="O225" s="9">
        <f t="shared" si="4"/>
        <v>26</v>
      </c>
      <c r="X225" s="9" t="str">
        <f>UPPER(LEFT(D225,1)&amp;MID(D225,FIND(" ",D225)+1,1))</f>
        <v>VS</v>
      </c>
    </row>
    <row r="226" spans="1:24" ht="15.75" customHeight="1" thickBot="1" x14ac:dyDescent="0.4">
      <c r="A226" s="17" t="s">
        <v>433</v>
      </c>
      <c r="B226" s="18">
        <v>45718</v>
      </c>
      <c r="C226" s="17" t="s">
        <v>56</v>
      </c>
      <c r="D226" s="17" t="s">
        <v>57</v>
      </c>
      <c r="E226" s="17" t="s">
        <v>45</v>
      </c>
      <c r="F226" s="17" t="s">
        <v>46</v>
      </c>
      <c r="G226" s="17" t="s">
        <v>47</v>
      </c>
      <c r="H226" s="19">
        <v>2</v>
      </c>
      <c r="I226" s="19">
        <v>149.99</v>
      </c>
      <c r="J226" s="17" t="s">
        <v>21</v>
      </c>
      <c r="K226" s="17" t="s">
        <v>22</v>
      </c>
      <c r="L226" s="17" t="s">
        <v>23</v>
      </c>
      <c r="M226" s="18">
        <v>45068</v>
      </c>
      <c r="N226" s="4">
        <v>299.98</v>
      </c>
      <c r="O226" s="9">
        <f t="shared" si="4"/>
        <v>35</v>
      </c>
      <c r="X226" s="9" t="str">
        <f>UPPER(LEFT(D226,1)&amp;MID(D226,FIND(" ",D226)+1,1))</f>
        <v>CA</v>
      </c>
    </row>
    <row r="227" spans="1:24" ht="15.75" customHeight="1" thickBot="1" x14ac:dyDescent="0.4">
      <c r="A227" s="17" t="s">
        <v>434</v>
      </c>
      <c r="B227" s="18">
        <v>45720</v>
      </c>
      <c r="C227" s="17" t="s">
        <v>288</v>
      </c>
      <c r="D227" s="17" t="s">
        <v>289</v>
      </c>
      <c r="E227" s="17" t="s">
        <v>142</v>
      </c>
      <c r="F227" s="17" t="s">
        <v>143</v>
      </c>
      <c r="G227" s="17" t="s">
        <v>20</v>
      </c>
      <c r="H227" s="19">
        <v>5</v>
      </c>
      <c r="I227" s="19">
        <v>699.99</v>
      </c>
      <c r="J227" s="17" t="s">
        <v>58</v>
      </c>
      <c r="K227" s="17" t="s">
        <v>64</v>
      </c>
      <c r="L227" s="17" t="s">
        <v>28</v>
      </c>
      <c r="M227" s="18">
        <v>45161</v>
      </c>
      <c r="N227" s="4">
        <v>3499.95</v>
      </c>
      <c r="O227" s="9">
        <f t="shared" si="4"/>
        <v>31</v>
      </c>
      <c r="X227" s="9" t="str">
        <f>UPPER(LEFT(D227,1)&amp;MID(D227,FIND(" ",D227)+1,1))</f>
        <v>LR</v>
      </c>
    </row>
    <row r="228" spans="1:24" ht="15.75" customHeight="1" thickBot="1" x14ac:dyDescent="0.4">
      <c r="A228" s="17" t="s">
        <v>435</v>
      </c>
      <c r="B228" s="18">
        <v>45721</v>
      </c>
      <c r="C228" s="17" t="s">
        <v>137</v>
      </c>
      <c r="D228" s="17" t="s">
        <v>138</v>
      </c>
      <c r="E228" s="17" t="s">
        <v>32</v>
      </c>
      <c r="F228" s="17" t="s">
        <v>33</v>
      </c>
      <c r="G228" s="17" t="s">
        <v>34</v>
      </c>
      <c r="H228" s="19">
        <v>5</v>
      </c>
      <c r="I228" s="19">
        <v>59.99</v>
      </c>
      <c r="J228" s="17" t="s">
        <v>21</v>
      </c>
      <c r="K228" s="17" t="s">
        <v>51</v>
      </c>
      <c r="L228" s="17" t="s">
        <v>28</v>
      </c>
      <c r="M228" s="18">
        <v>45291</v>
      </c>
      <c r="N228" s="4">
        <v>299.95</v>
      </c>
      <c r="O228" s="9">
        <f t="shared" si="4"/>
        <v>29</v>
      </c>
      <c r="X228" s="9" t="str">
        <f>UPPER(LEFT(D228,1)&amp;MID(D228,FIND(" ",D228)+1,1))</f>
        <v>DG</v>
      </c>
    </row>
    <row r="229" spans="1:24" ht="15.75" customHeight="1" thickBot="1" x14ac:dyDescent="0.4">
      <c r="A229" s="17" t="s">
        <v>436</v>
      </c>
      <c r="B229" s="18">
        <v>45723</v>
      </c>
      <c r="C229" s="17" t="s">
        <v>16</v>
      </c>
      <c r="D229" s="17" t="s">
        <v>17</v>
      </c>
      <c r="E229" s="17" t="s">
        <v>179</v>
      </c>
      <c r="F229" s="17" t="s">
        <v>180</v>
      </c>
      <c r="G229" s="17" t="s">
        <v>20</v>
      </c>
      <c r="H229" s="19">
        <v>2</v>
      </c>
      <c r="I229" s="19">
        <v>89.99</v>
      </c>
      <c r="J229" s="17" t="s">
        <v>27</v>
      </c>
      <c r="K229" s="17" t="s">
        <v>51</v>
      </c>
      <c r="L229" s="17" t="s">
        <v>28</v>
      </c>
      <c r="M229" s="18">
        <v>45295</v>
      </c>
      <c r="N229" s="4">
        <v>179.98</v>
      </c>
      <c r="O229" s="9">
        <f t="shared" si="4"/>
        <v>34</v>
      </c>
      <c r="X229" s="9" t="str">
        <f>UPPER(LEFT(D229,1)&amp;MID(D229,FIND(" ",D229)+1,1))</f>
        <v>PB</v>
      </c>
    </row>
    <row r="230" spans="1:24" ht="15.75" customHeight="1" thickBot="1" x14ac:dyDescent="0.4">
      <c r="A230" s="17" t="s">
        <v>437</v>
      </c>
      <c r="B230" s="18">
        <v>45723</v>
      </c>
      <c r="C230" s="17" t="s">
        <v>182</v>
      </c>
      <c r="D230" s="17" t="s">
        <v>183</v>
      </c>
      <c r="E230" s="17" t="s">
        <v>18</v>
      </c>
      <c r="F230" s="17" t="s">
        <v>19</v>
      </c>
      <c r="G230" s="17" t="s">
        <v>20</v>
      </c>
      <c r="H230" s="19">
        <v>5</v>
      </c>
      <c r="I230" s="19">
        <v>249.99</v>
      </c>
      <c r="J230" s="17" t="s">
        <v>21</v>
      </c>
      <c r="K230" s="17" t="s">
        <v>64</v>
      </c>
      <c r="L230" s="17" t="s">
        <v>37</v>
      </c>
      <c r="M230" s="18">
        <v>44540</v>
      </c>
      <c r="N230" s="4">
        <v>1249.95</v>
      </c>
      <c r="O230" s="9">
        <f t="shared" si="4"/>
        <v>26</v>
      </c>
      <c r="X230" s="9" t="str">
        <f>UPPER(LEFT(D230,1)&amp;MID(D230,FIND(" ",D230)+1,1))</f>
        <v>HR</v>
      </c>
    </row>
    <row r="231" spans="1:24" ht="15.75" customHeight="1" thickBot="1" x14ac:dyDescent="0.4">
      <c r="A231" s="17" t="s">
        <v>438</v>
      </c>
      <c r="B231" s="18">
        <v>45724</v>
      </c>
      <c r="C231" s="17" t="s">
        <v>288</v>
      </c>
      <c r="D231" s="17" t="s">
        <v>289</v>
      </c>
      <c r="E231" s="17" t="s">
        <v>45</v>
      </c>
      <c r="F231" s="17" t="s">
        <v>46</v>
      </c>
      <c r="G231" s="17" t="s">
        <v>47</v>
      </c>
      <c r="H231" s="19">
        <v>2</v>
      </c>
      <c r="I231" s="19">
        <v>149.99</v>
      </c>
      <c r="J231" s="17" t="s">
        <v>35</v>
      </c>
      <c r="K231" s="17" t="s">
        <v>22</v>
      </c>
      <c r="L231" s="17" t="s">
        <v>28</v>
      </c>
      <c r="M231" s="18">
        <v>44632</v>
      </c>
      <c r="N231" s="4">
        <v>299.98</v>
      </c>
      <c r="O231" s="9">
        <f t="shared" si="4"/>
        <v>35</v>
      </c>
      <c r="X231" s="9" t="str">
        <f>UPPER(LEFT(D231,1)&amp;MID(D231,FIND(" ",D231)+1,1))</f>
        <v>LR</v>
      </c>
    </row>
    <row r="232" spans="1:24" ht="15.75" customHeight="1" thickBot="1" x14ac:dyDescent="0.4">
      <c r="A232" s="17" t="s">
        <v>439</v>
      </c>
      <c r="B232" s="18">
        <v>45724</v>
      </c>
      <c r="C232" s="17" t="s">
        <v>206</v>
      </c>
      <c r="D232" s="17" t="s">
        <v>207</v>
      </c>
      <c r="E232" s="17" t="s">
        <v>62</v>
      </c>
      <c r="F232" s="17" t="s">
        <v>63</v>
      </c>
      <c r="G232" s="17" t="s">
        <v>20</v>
      </c>
      <c r="H232" s="19">
        <v>5</v>
      </c>
      <c r="I232" s="19">
        <v>899.99</v>
      </c>
      <c r="J232" s="17" t="s">
        <v>35</v>
      </c>
      <c r="K232" s="17" t="s">
        <v>64</v>
      </c>
      <c r="L232" s="17" t="s">
        <v>28</v>
      </c>
      <c r="M232" s="18">
        <v>45389</v>
      </c>
      <c r="N232" s="4">
        <v>4499.95</v>
      </c>
      <c r="O232" s="9">
        <f t="shared" si="4"/>
        <v>24</v>
      </c>
      <c r="X232" s="9" t="str">
        <f>UPPER(LEFT(D232,1)&amp;MID(D232,FIND(" ",D232)+1,1))</f>
        <v>HM</v>
      </c>
    </row>
    <row r="233" spans="1:24" ht="15.75" customHeight="1" thickBot="1" x14ac:dyDescent="0.4">
      <c r="A233" s="17" t="s">
        <v>440</v>
      </c>
      <c r="B233" s="18">
        <v>45724</v>
      </c>
      <c r="C233" s="17" t="s">
        <v>56</v>
      </c>
      <c r="D233" s="17" t="s">
        <v>57</v>
      </c>
      <c r="E233" s="17" t="s">
        <v>45</v>
      </c>
      <c r="F233" s="17" t="s">
        <v>46</v>
      </c>
      <c r="G233" s="17" t="s">
        <v>47</v>
      </c>
      <c r="H233" s="19">
        <v>4</v>
      </c>
      <c r="I233" s="19">
        <v>149.99</v>
      </c>
      <c r="J233" s="17" t="s">
        <v>21</v>
      </c>
      <c r="K233" s="17" t="s">
        <v>22</v>
      </c>
      <c r="L233" s="17" t="s">
        <v>37</v>
      </c>
      <c r="M233" s="18">
        <v>45263</v>
      </c>
      <c r="N233" s="4">
        <v>599.96</v>
      </c>
      <c r="O233" s="9">
        <f t="shared" si="4"/>
        <v>35</v>
      </c>
      <c r="X233" s="9" t="str">
        <f>UPPER(LEFT(D233,1)&amp;MID(D233,FIND(" ",D233)+1,1))</f>
        <v>CA</v>
      </c>
    </row>
    <row r="234" spans="1:24" ht="15.75" customHeight="1" thickBot="1" x14ac:dyDescent="0.4">
      <c r="A234" s="17" t="s">
        <v>441</v>
      </c>
      <c r="B234" s="18">
        <v>45726</v>
      </c>
      <c r="C234" s="17" t="s">
        <v>206</v>
      </c>
      <c r="D234" s="17" t="s">
        <v>207</v>
      </c>
      <c r="E234" s="17" t="s">
        <v>18</v>
      </c>
      <c r="F234" s="17" t="s">
        <v>19</v>
      </c>
      <c r="G234" s="17" t="s">
        <v>20</v>
      </c>
      <c r="H234" s="19">
        <v>1</v>
      </c>
      <c r="I234" s="19">
        <v>249.99</v>
      </c>
      <c r="J234" s="17" t="s">
        <v>21</v>
      </c>
      <c r="K234" s="17" t="s">
        <v>41</v>
      </c>
      <c r="L234" s="17" t="s">
        <v>37</v>
      </c>
      <c r="M234" s="18">
        <v>45117</v>
      </c>
      <c r="N234" s="4">
        <v>249.99</v>
      </c>
      <c r="O234" s="9">
        <f t="shared" si="4"/>
        <v>26</v>
      </c>
      <c r="X234" s="9" t="str">
        <f>UPPER(LEFT(D234,1)&amp;MID(D234,FIND(" ",D234)+1,1))</f>
        <v>HM</v>
      </c>
    </row>
    <row r="235" spans="1:24" ht="15.75" customHeight="1" thickBot="1" x14ac:dyDescent="0.4">
      <c r="A235" s="17" t="s">
        <v>442</v>
      </c>
      <c r="B235" s="18">
        <v>45734</v>
      </c>
      <c r="C235" s="17" t="s">
        <v>254</v>
      </c>
      <c r="D235" s="17" t="s">
        <v>255</v>
      </c>
      <c r="E235" s="17" t="s">
        <v>32</v>
      </c>
      <c r="F235" s="17" t="s">
        <v>33</v>
      </c>
      <c r="G235" s="17" t="s">
        <v>34</v>
      </c>
      <c r="H235" s="19">
        <v>2</v>
      </c>
      <c r="I235" s="19">
        <v>59.99</v>
      </c>
      <c r="J235" s="17" t="s">
        <v>27</v>
      </c>
      <c r="K235" s="17" t="s">
        <v>51</v>
      </c>
      <c r="L235" s="17" t="s">
        <v>23</v>
      </c>
      <c r="M235" s="18">
        <v>45193</v>
      </c>
      <c r="N235" s="4">
        <v>119.98</v>
      </c>
      <c r="O235" s="9">
        <f t="shared" si="4"/>
        <v>29</v>
      </c>
      <c r="X235" s="9" t="str">
        <f>UPPER(LEFT(D235,1)&amp;MID(D235,FIND(" ",D235)+1,1))</f>
        <v>FT</v>
      </c>
    </row>
    <row r="236" spans="1:24" ht="15.75" customHeight="1" thickBot="1" x14ac:dyDescent="0.4">
      <c r="A236" s="17" t="s">
        <v>443</v>
      </c>
      <c r="B236" s="18">
        <v>45737</v>
      </c>
      <c r="C236" s="17" t="s">
        <v>194</v>
      </c>
      <c r="D236" s="17" t="s">
        <v>195</v>
      </c>
      <c r="E236" s="17" t="s">
        <v>45</v>
      </c>
      <c r="F236" s="17" t="s">
        <v>46</v>
      </c>
      <c r="G236" s="17" t="s">
        <v>47</v>
      </c>
      <c r="H236" s="19">
        <v>2</v>
      </c>
      <c r="I236" s="19">
        <v>149.99</v>
      </c>
      <c r="J236" s="17" t="s">
        <v>21</v>
      </c>
      <c r="K236" s="17" t="s">
        <v>51</v>
      </c>
      <c r="L236" s="17" t="s">
        <v>28</v>
      </c>
      <c r="M236" s="18">
        <v>45233</v>
      </c>
      <c r="N236" s="4">
        <v>299.98</v>
      </c>
      <c r="O236" s="9">
        <f t="shared" si="4"/>
        <v>35</v>
      </c>
      <c r="X236" s="9" t="str">
        <f>UPPER(LEFT(D236,1)&amp;MID(D236,FIND(" ",D236)+1,1))</f>
        <v>EW</v>
      </c>
    </row>
    <row r="237" spans="1:24" ht="15.75" customHeight="1" thickBot="1" x14ac:dyDescent="0.4">
      <c r="A237" s="17" t="s">
        <v>444</v>
      </c>
      <c r="B237" s="18">
        <v>45737</v>
      </c>
      <c r="C237" s="17" t="s">
        <v>212</v>
      </c>
      <c r="D237" s="17" t="s">
        <v>213</v>
      </c>
      <c r="E237" s="17" t="s">
        <v>62</v>
      </c>
      <c r="F237" s="17" t="s">
        <v>63</v>
      </c>
      <c r="G237" s="17" t="s">
        <v>20</v>
      </c>
      <c r="H237" s="19">
        <v>3</v>
      </c>
      <c r="I237" s="19">
        <v>899.99</v>
      </c>
      <c r="J237" s="17" t="s">
        <v>58</v>
      </c>
      <c r="K237" s="17" t="s">
        <v>41</v>
      </c>
      <c r="L237" s="17" t="s">
        <v>28</v>
      </c>
      <c r="M237" s="18">
        <v>44876</v>
      </c>
      <c r="N237" s="4">
        <v>2699.97</v>
      </c>
      <c r="O237" s="9">
        <f t="shared" si="4"/>
        <v>24</v>
      </c>
      <c r="X237" s="9" t="str">
        <f>UPPER(LEFT(D237,1)&amp;MID(D237,FIND(" ",D237)+1,1))</f>
        <v>SB</v>
      </c>
    </row>
    <row r="238" spans="1:24" ht="15.75" customHeight="1" thickBot="1" x14ac:dyDescent="0.4">
      <c r="A238" s="17" t="s">
        <v>445</v>
      </c>
      <c r="B238" s="18">
        <v>45737</v>
      </c>
      <c r="C238" s="17" t="s">
        <v>49</v>
      </c>
      <c r="D238" s="17" t="s">
        <v>50</v>
      </c>
      <c r="E238" s="17" t="s">
        <v>62</v>
      </c>
      <c r="F238" s="17" t="s">
        <v>63</v>
      </c>
      <c r="G238" s="17" t="s">
        <v>20</v>
      </c>
      <c r="H238" s="19">
        <v>3</v>
      </c>
      <c r="I238" s="19">
        <v>899.99</v>
      </c>
      <c r="J238" s="17" t="s">
        <v>35</v>
      </c>
      <c r="K238" s="17" t="s">
        <v>41</v>
      </c>
      <c r="L238" s="17" t="s">
        <v>23</v>
      </c>
      <c r="M238" s="18">
        <v>44975</v>
      </c>
      <c r="N238" s="4">
        <v>2699.97</v>
      </c>
      <c r="O238" s="9">
        <f t="shared" si="4"/>
        <v>24</v>
      </c>
      <c r="X238" s="9" t="str">
        <f>UPPER(LEFT(D238,1)&amp;MID(D238,FIND(" ",D238)+1,1))</f>
        <v>DN</v>
      </c>
    </row>
    <row r="239" spans="1:24" ht="15.75" customHeight="1" thickBot="1" x14ac:dyDescent="0.4">
      <c r="A239" s="17" t="s">
        <v>446</v>
      </c>
      <c r="B239" s="18">
        <v>45739</v>
      </c>
      <c r="C239" s="17" t="s">
        <v>16</v>
      </c>
      <c r="D239" s="17" t="s">
        <v>17</v>
      </c>
      <c r="E239" s="17" t="s">
        <v>167</v>
      </c>
      <c r="F239" s="17" t="s">
        <v>168</v>
      </c>
      <c r="G239" s="17" t="s">
        <v>47</v>
      </c>
      <c r="H239" s="19">
        <v>3</v>
      </c>
      <c r="I239" s="19">
        <v>299.99</v>
      </c>
      <c r="J239" s="17" t="s">
        <v>27</v>
      </c>
      <c r="K239" s="17" t="s">
        <v>51</v>
      </c>
      <c r="L239" s="17" t="s">
        <v>28</v>
      </c>
      <c r="M239" s="18">
        <v>45234</v>
      </c>
      <c r="N239" s="4">
        <v>899.97</v>
      </c>
      <c r="O239" s="9">
        <f t="shared" si="4"/>
        <v>26</v>
      </c>
      <c r="X239" s="9" t="str">
        <f>UPPER(LEFT(D239,1)&amp;MID(D239,FIND(" ",D239)+1,1))</f>
        <v>PB</v>
      </c>
    </row>
    <row r="240" spans="1:24" ht="15.75" customHeight="1" thickBot="1" x14ac:dyDescent="0.4">
      <c r="A240" s="17" t="s">
        <v>447</v>
      </c>
      <c r="B240" s="18">
        <v>45740</v>
      </c>
      <c r="C240" s="17" t="s">
        <v>448</v>
      </c>
      <c r="D240" s="17" t="s">
        <v>449</v>
      </c>
      <c r="E240" s="17" t="s">
        <v>45</v>
      </c>
      <c r="F240" s="17" t="s">
        <v>46</v>
      </c>
      <c r="G240" s="17" t="s">
        <v>47</v>
      </c>
      <c r="H240" s="19">
        <v>4</v>
      </c>
      <c r="I240" s="19">
        <v>149.99</v>
      </c>
      <c r="J240" s="17" t="s">
        <v>35</v>
      </c>
      <c r="K240" s="17" t="s">
        <v>51</v>
      </c>
      <c r="L240" s="17" t="s">
        <v>37</v>
      </c>
      <c r="M240" s="18">
        <v>44560</v>
      </c>
      <c r="N240" s="4">
        <v>599.96</v>
      </c>
      <c r="O240" s="9">
        <f t="shared" si="4"/>
        <v>35</v>
      </c>
      <c r="X240" s="9" t="str">
        <f>UPPER(LEFT(D240,1)&amp;MID(D240,FIND(" ",D240)+1,1))</f>
        <v>JS</v>
      </c>
    </row>
    <row r="241" spans="1:24" ht="15.75" customHeight="1" thickBot="1" x14ac:dyDescent="0.4">
      <c r="A241" s="17" t="s">
        <v>450</v>
      </c>
      <c r="B241" s="18">
        <v>45743</v>
      </c>
      <c r="C241" s="17" t="s">
        <v>164</v>
      </c>
      <c r="D241" s="17" t="s">
        <v>165</v>
      </c>
      <c r="E241" s="17" t="s">
        <v>176</v>
      </c>
      <c r="F241" s="17" t="s">
        <v>177</v>
      </c>
      <c r="G241" s="17" t="s">
        <v>34</v>
      </c>
      <c r="H241" s="19">
        <v>4</v>
      </c>
      <c r="I241" s="19">
        <v>79.989999999999995</v>
      </c>
      <c r="J241" s="17" t="s">
        <v>27</v>
      </c>
      <c r="K241" s="17" t="s">
        <v>22</v>
      </c>
      <c r="L241" s="17" t="s">
        <v>23</v>
      </c>
      <c r="M241" s="18">
        <v>45288</v>
      </c>
      <c r="N241" s="4">
        <v>319.95999999999998</v>
      </c>
      <c r="O241" s="9">
        <f t="shared" si="4"/>
        <v>14</v>
      </c>
      <c r="X241" s="9" t="str">
        <f>UPPER(LEFT(D241,1)&amp;MID(D241,FIND(" ",D241)+1,1))</f>
        <v>CP</v>
      </c>
    </row>
    <row r="242" spans="1:24" ht="15.75" customHeight="1" thickBot="1" x14ac:dyDescent="0.4">
      <c r="A242" s="17" t="s">
        <v>451</v>
      </c>
      <c r="B242" s="18">
        <v>45745</v>
      </c>
      <c r="C242" s="17" t="s">
        <v>247</v>
      </c>
      <c r="D242" s="17" t="s">
        <v>248</v>
      </c>
      <c r="E242" s="17" t="s">
        <v>179</v>
      </c>
      <c r="F242" s="17" t="s">
        <v>180</v>
      </c>
      <c r="G242" s="17" t="s">
        <v>20</v>
      </c>
      <c r="H242" s="19">
        <v>5</v>
      </c>
      <c r="I242" s="19">
        <v>89.99</v>
      </c>
      <c r="J242" s="17" t="s">
        <v>35</v>
      </c>
      <c r="K242" s="17" t="s">
        <v>36</v>
      </c>
      <c r="L242" s="17" t="s">
        <v>23</v>
      </c>
      <c r="M242" s="18">
        <v>44704</v>
      </c>
      <c r="N242" s="4">
        <v>449.95</v>
      </c>
      <c r="O242" s="9">
        <f t="shared" si="4"/>
        <v>34</v>
      </c>
      <c r="X242" s="9" t="str">
        <f>UPPER(LEFT(D242,1)&amp;MID(D242,FIND(" ",D242)+1,1))</f>
        <v>MW</v>
      </c>
    </row>
    <row r="243" spans="1:24" ht="15.75" customHeight="1" thickBot="1" x14ac:dyDescent="0.4">
      <c r="A243" s="17" t="s">
        <v>452</v>
      </c>
      <c r="B243" s="18">
        <v>45746</v>
      </c>
      <c r="C243" s="17" t="s">
        <v>155</v>
      </c>
      <c r="D243" s="17" t="s">
        <v>156</v>
      </c>
      <c r="E243" s="17" t="s">
        <v>45</v>
      </c>
      <c r="F243" s="17" t="s">
        <v>46</v>
      </c>
      <c r="G243" s="17" t="s">
        <v>47</v>
      </c>
      <c r="H243" s="19">
        <v>3</v>
      </c>
      <c r="I243" s="19">
        <v>149.99</v>
      </c>
      <c r="J243" s="17" t="s">
        <v>35</v>
      </c>
      <c r="K243" s="17" t="s">
        <v>22</v>
      </c>
      <c r="L243" s="17" t="s">
        <v>37</v>
      </c>
      <c r="M243" s="18">
        <v>45171</v>
      </c>
      <c r="N243" s="4">
        <v>449.97</v>
      </c>
      <c r="O243" s="9">
        <f t="shared" si="4"/>
        <v>35</v>
      </c>
      <c r="X243" s="9" t="str">
        <f>UPPER(LEFT(D243,1)&amp;MID(D243,FIND(" ",D243)+1,1))</f>
        <v>VS</v>
      </c>
    </row>
    <row r="244" spans="1:24" ht="15.75" customHeight="1" thickBot="1" x14ac:dyDescent="0.4">
      <c r="A244" s="17" t="s">
        <v>453</v>
      </c>
      <c r="B244" s="18">
        <v>45746</v>
      </c>
      <c r="C244" s="17" t="s">
        <v>127</v>
      </c>
      <c r="D244" s="17" t="s">
        <v>128</v>
      </c>
      <c r="E244" s="17" t="s">
        <v>179</v>
      </c>
      <c r="F244" s="17" t="s">
        <v>180</v>
      </c>
      <c r="G244" s="17" t="s">
        <v>20</v>
      </c>
      <c r="H244" s="19">
        <v>2</v>
      </c>
      <c r="I244" s="19">
        <v>89.99</v>
      </c>
      <c r="J244" s="17" t="s">
        <v>58</v>
      </c>
      <c r="K244" s="17" t="s">
        <v>51</v>
      </c>
      <c r="L244" s="17" t="s">
        <v>28</v>
      </c>
      <c r="M244" s="18">
        <v>44522</v>
      </c>
      <c r="N244" s="4">
        <v>179.98</v>
      </c>
      <c r="O244" s="9">
        <f t="shared" si="4"/>
        <v>34</v>
      </c>
      <c r="X244" s="9" t="str">
        <f>UPPER(LEFT(D244,1)&amp;MID(D244,FIND(" ",D244)+1,1))</f>
        <v>KH</v>
      </c>
    </row>
    <row r="245" spans="1:24" ht="15.75" customHeight="1" thickBot="1" x14ac:dyDescent="0.4">
      <c r="A245" s="17" t="s">
        <v>454</v>
      </c>
      <c r="B245" s="18">
        <v>45748</v>
      </c>
      <c r="C245" s="17" t="s">
        <v>164</v>
      </c>
      <c r="D245" s="17" t="s">
        <v>165</v>
      </c>
      <c r="E245" s="17" t="s">
        <v>142</v>
      </c>
      <c r="F245" s="17" t="s">
        <v>143</v>
      </c>
      <c r="G245" s="17" t="s">
        <v>20</v>
      </c>
      <c r="H245" s="19">
        <v>2</v>
      </c>
      <c r="I245" s="19">
        <v>699.99</v>
      </c>
      <c r="J245" s="17" t="s">
        <v>35</v>
      </c>
      <c r="K245" s="17" t="s">
        <v>41</v>
      </c>
      <c r="L245" s="17" t="s">
        <v>37</v>
      </c>
      <c r="M245" s="18">
        <v>44618</v>
      </c>
      <c r="N245" s="4">
        <v>1399.98</v>
      </c>
      <c r="O245" s="9">
        <f t="shared" si="4"/>
        <v>31</v>
      </c>
      <c r="X245" s="9" t="str">
        <f>UPPER(LEFT(D245,1)&amp;MID(D245,FIND(" ",D245)+1,1))</f>
        <v>CP</v>
      </c>
    </row>
    <row r="246" spans="1:24" ht="15.75" customHeight="1" thickBot="1" x14ac:dyDescent="0.4">
      <c r="A246" s="17" t="s">
        <v>455</v>
      </c>
      <c r="B246" s="18">
        <v>45749</v>
      </c>
      <c r="C246" s="17" t="s">
        <v>185</v>
      </c>
      <c r="D246" s="17" t="s">
        <v>186</v>
      </c>
      <c r="E246" s="17" t="s">
        <v>62</v>
      </c>
      <c r="F246" s="17" t="s">
        <v>63</v>
      </c>
      <c r="G246" s="17" t="s">
        <v>20</v>
      </c>
      <c r="H246" s="19">
        <v>3</v>
      </c>
      <c r="I246" s="19">
        <v>899.99</v>
      </c>
      <c r="J246" s="17" t="s">
        <v>21</v>
      </c>
      <c r="K246" s="17" t="s">
        <v>22</v>
      </c>
      <c r="L246" s="17" t="s">
        <v>37</v>
      </c>
      <c r="M246" s="18">
        <v>44953</v>
      </c>
      <c r="N246" s="4">
        <v>2699.97</v>
      </c>
      <c r="O246" s="9">
        <f t="shared" si="4"/>
        <v>24</v>
      </c>
      <c r="X246" s="9" t="str">
        <f>UPPER(LEFT(D246,1)&amp;MID(D246,FIND(" ",D246)+1,1))</f>
        <v>EM</v>
      </c>
    </row>
    <row r="247" spans="1:24" ht="15.75" customHeight="1" thickBot="1" x14ac:dyDescent="0.4">
      <c r="A247" s="17" t="s">
        <v>456</v>
      </c>
      <c r="B247" s="18">
        <v>45755</v>
      </c>
      <c r="C247" s="17" t="s">
        <v>155</v>
      </c>
      <c r="D247" s="17" t="s">
        <v>156</v>
      </c>
      <c r="E247" s="17" t="s">
        <v>176</v>
      </c>
      <c r="F247" s="17" t="s">
        <v>177</v>
      </c>
      <c r="G247" s="17" t="s">
        <v>34</v>
      </c>
      <c r="H247" s="19">
        <v>3</v>
      </c>
      <c r="I247" s="19">
        <v>79.989999999999995</v>
      </c>
      <c r="J247" s="17" t="s">
        <v>27</v>
      </c>
      <c r="K247" s="17" t="s">
        <v>41</v>
      </c>
      <c r="L247" s="17" t="s">
        <v>23</v>
      </c>
      <c r="M247" s="18">
        <v>44511</v>
      </c>
      <c r="N247" s="4">
        <v>239.97</v>
      </c>
      <c r="O247" s="9">
        <f t="shared" si="4"/>
        <v>14</v>
      </c>
      <c r="X247" s="9" t="str">
        <f>UPPER(LEFT(D247,1)&amp;MID(D247,FIND(" ",D247)+1,1))</f>
        <v>VS</v>
      </c>
    </row>
    <row r="248" spans="1:24" ht="15.75" customHeight="1" thickBot="1" x14ac:dyDescent="0.4">
      <c r="A248" s="17" t="s">
        <v>457</v>
      </c>
      <c r="B248" s="18">
        <v>45756</v>
      </c>
      <c r="C248" s="17" t="s">
        <v>60</v>
      </c>
      <c r="D248" s="17" t="s">
        <v>61</v>
      </c>
      <c r="E248" s="17" t="s">
        <v>179</v>
      </c>
      <c r="F248" s="17" t="s">
        <v>180</v>
      </c>
      <c r="G248" s="17" t="s">
        <v>20</v>
      </c>
      <c r="H248" s="19">
        <v>1</v>
      </c>
      <c r="I248" s="19">
        <v>89.99</v>
      </c>
      <c r="J248" s="17" t="s">
        <v>58</v>
      </c>
      <c r="K248" s="17" t="s">
        <v>64</v>
      </c>
      <c r="L248" s="17" t="s">
        <v>23</v>
      </c>
      <c r="M248" s="18">
        <v>45346</v>
      </c>
      <c r="N248" s="4">
        <v>89.99</v>
      </c>
      <c r="O248" s="9">
        <f t="shared" si="4"/>
        <v>34</v>
      </c>
      <c r="X248" s="9" t="str">
        <f>UPPER(LEFT(D248,1)&amp;MID(D248,FIND(" ",D248)+1,1))</f>
        <v>RT</v>
      </c>
    </row>
    <row r="249" spans="1:24" ht="15.75" customHeight="1" thickBot="1" x14ac:dyDescent="0.4">
      <c r="A249" s="17" t="s">
        <v>458</v>
      </c>
      <c r="B249" s="18">
        <v>45758</v>
      </c>
      <c r="C249" s="17" t="s">
        <v>355</v>
      </c>
      <c r="D249" s="17" t="s">
        <v>356</v>
      </c>
      <c r="E249" s="17" t="s">
        <v>142</v>
      </c>
      <c r="F249" s="17" t="s">
        <v>143</v>
      </c>
      <c r="G249" s="17" t="s">
        <v>20</v>
      </c>
      <c r="H249" s="19">
        <v>3</v>
      </c>
      <c r="I249" s="19">
        <v>699.99</v>
      </c>
      <c r="J249" s="17" t="s">
        <v>35</v>
      </c>
      <c r="K249" s="17" t="s">
        <v>41</v>
      </c>
      <c r="L249" s="17" t="s">
        <v>23</v>
      </c>
      <c r="M249" s="18">
        <v>44909</v>
      </c>
      <c r="N249" s="4">
        <v>2099.9699999999998</v>
      </c>
      <c r="O249" s="9">
        <f t="shared" si="4"/>
        <v>31</v>
      </c>
      <c r="X249" s="9" t="str">
        <f>UPPER(LEFT(D249,1)&amp;MID(D249,FIND(" ",D249)+1,1))</f>
        <v>DW</v>
      </c>
    </row>
    <row r="250" spans="1:24" ht="15.75" customHeight="1" thickBot="1" x14ac:dyDescent="0.4">
      <c r="A250" s="17" t="s">
        <v>459</v>
      </c>
      <c r="B250" s="18">
        <v>45758</v>
      </c>
      <c r="C250" s="17" t="s">
        <v>288</v>
      </c>
      <c r="D250" s="17" t="s">
        <v>289</v>
      </c>
      <c r="E250" s="17" t="s">
        <v>179</v>
      </c>
      <c r="F250" s="17" t="s">
        <v>180</v>
      </c>
      <c r="G250" s="17" t="s">
        <v>20</v>
      </c>
      <c r="H250" s="19">
        <v>2</v>
      </c>
      <c r="I250" s="19">
        <v>89.99</v>
      </c>
      <c r="J250" s="17" t="s">
        <v>58</v>
      </c>
      <c r="K250" s="17" t="s">
        <v>64</v>
      </c>
      <c r="L250" s="17" t="s">
        <v>23</v>
      </c>
      <c r="M250" s="18">
        <v>45088</v>
      </c>
      <c r="N250" s="4">
        <v>179.98</v>
      </c>
      <c r="O250" s="9">
        <f t="shared" si="4"/>
        <v>34</v>
      </c>
      <c r="X250" s="9" t="str">
        <f>UPPER(LEFT(D250,1)&amp;MID(D250,FIND(" ",D250)+1,1))</f>
        <v>LR</v>
      </c>
    </row>
    <row r="251" spans="1:24" ht="15.75" customHeight="1" thickBot="1" x14ac:dyDescent="0.4">
      <c r="A251" s="17" t="s">
        <v>460</v>
      </c>
      <c r="B251" s="18">
        <v>45758</v>
      </c>
      <c r="C251" s="17" t="s">
        <v>200</v>
      </c>
      <c r="D251" s="17" t="s">
        <v>201</v>
      </c>
      <c r="E251" s="17" t="s">
        <v>179</v>
      </c>
      <c r="F251" s="17" t="s">
        <v>180</v>
      </c>
      <c r="G251" s="17" t="s">
        <v>20</v>
      </c>
      <c r="H251" s="19">
        <v>3</v>
      </c>
      <c r="I251" s="19">
        <v>89.99</v>
      </c>
      <c r="J251" s="17" t="s">
        <v>58</v>
      </c>
      <c r="K251" s="17" t="s">
        <v>41</v>
      </c>
      <c r="L251" s="17" t="s">
        <v>28</v>
      </c>
      <c r="M251" s="18">
        <v>44878</v>
      </c>
      <c r="N251" s="4">
        <v>269.97000000000003</v>
      </c>
      <c r="O251" s="9">
        <f t="shared" si="4"/>
        <v>34</v>
      </c>
      <c r="X251" s="9" t="str">
        <f>UPPER(LEFT(D251,1)&amp;MID(D251,FIND(" ",D251)+1,1))</f>
        <v>ST</v>
      </c>
    </row>
    <row r="252" spans="1:24" ht="15.75" customHeight="1" x14ac:dyDescent="0.35"/>
    <row r="253" spans="1:24" ht="15.75" customHeight="1" x14ac:dyDescent="0.35"/>
    <row r="254" spans="1:24" ht="15.75" customHeight="1" x14ac:dyDescent="0.35"/>
    <row r="255" spans="1:24" ht="15.75" customHeight="1" x14ac:dyDescent="0.35"/>
    <row r="256" spans="1:24"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scenarios current="0" show="0">
    <scenario name="PRICE" locked="1" count="1" user="Ayush Pokar" comment="Created by Ayush Pokar on 17-02-2026">
      <inputCells r="R3" val="600"/>
    </scenario>
    <scenario name="PRICE 2" locked="1" count="1" user="Ayush Pokar" comment="Created by Ayush Pokar on 17-02-2026">
      <inputCells r="R3" val="500"/>
    </scenario>
  </scenarios>
  <mergeCells count="3">
    <mergeCell ref="T1:U1"/>
    <mergeCell ref="Q1:R1"/>
    <mergeCell ref="Q6:R6"/>
  </mergeCells>
  <conditionalFormatting sqref="N2:N251">
    <cfRule type="iconSet" priority="1">
      <iconSet iconSet="3Arrows">
        <cfvo type="percent" val="0"/>
        <cfvo type="percent" val="33"/>
        <cfvo type="percent" val="67"/>
      </iconSet>
    </cfRule>
  </conditionalFormatting>
  <conditionalFormatting sqref="N3">
    <cfRule type="iconSet" priority="2">
      <iconSet iconSet="3Arrows">
        <cfvo type="percent" val="0"/>
        <cfvo type="percent" val="33"/>
        <cfvo type="percent" val="67"/>
      </iconSet>
    </cfRule>
  </conditionalFormatting>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9892-45C7-4D57-AA92-509D74EA3907}">
  <dimension ref="F3:AE51"/>
  <sheetViews>
    <sheetView zoomScale="40" zoomScaleNormal="40" workbookViewId="0">
      <selection activeCell="V34" sqref="V34"/>
    </sheetView>
  </sheetViews>
  <sheetFormatPr defaultRowHeight="14.5" x14ac:dyDescent="0.35"/>
  <cols>
    <col min="1" max="1" width="14.7265625" customWidth="1"/>
    <col min="2" max="2" width="18.08984375" bestFit="1" customWidth="1"/>
    <col min="3" max="3" width="15.36328125" bestFit="1" customWidth="1"/>
    <col min="4" max="4" width="20.36328125" bestFit="1" customWidth="1"/>
    <col min="6" max="6" width="14.7265625" bestFit="1" customWidth="1"/>
    <col min="7" max="7" width="18.08984375" bestFit="1" customWidth="1"/>
    <col min="8" max="8" width="15.36328125" bestFit="1" customWidth="1"/>
    <col min="9" max="9" width="20.36328125" bestFit="1" customWidth="1"/>
    <col min="10" max="10" width="5.08984375" customWidth="1"/>
    <col min="11" max="11" width="1.7265625" customWidth="1"/>
    <col min="12" max="12" width="5.7265625" customWidth="1"/>
    <col min="14" max="14" width="8.7265625" hidden="1" customWidth="1"/>
    <col min="16" max="16" width="12.36328125" bestFit="1" customWidth="1"/>
    <col min="17" max="17" width="15.81640625" bestFit="1" customWidth="1"/>
    <col min="18" max="18" width="14.54296875" bestFit="1" customWidth="1"/>
    <col min="19" max="19" width="12.36328125" bestFit="1" customWidth="1"/>
    <col min="20" max="20" width="14.54296875" bestFit="1" customWidth="1"/>
    <col min="22" max="22" width="20.81640625" bestFit="1" customWidth="1"/>
    <col min="23" max="23" width="23.26953125" bestFit="1" customWidth="1"/>
    <col min="24" max="24" width="15.81640625" bestFit="1" customWidth="1"/>
    <col min="25" max="25" width="14.7265625" bestFit="1" customWidth="1"/>
    <col min="26" max="26" width="16.6328125" bestFit="1" customWidth="1"/>
    <col min="27" max="27" width="15.81640625" bestFit="1" customWidth="1"/>
    <col min="28" max="28" width="14.36328125" bestFit="1" customWidth="1"/>
    <col min="29" max="29" width="16.453125" bestFit="1" customWidth="1"/>
    <col min="30" max="30" width="20.81640625" bestFit="1" customWidth="1"/>
    <col min="31" max="31" width="16.453125" bestFit="1" customWidth="1"/>
  </cols>
  <sheetData>
    <row r="3" spans="6:31" x14ac:dyDescent="0.35">
      <c r="F3" s="28" t="s">
        <v>475</v>
      </c>
      <c r="G3" s="28" t="s">
        <v>6</v>
      </c>
      <c r="H3" t="s">
        <v>480</v>
      </c>
      <c r="I3" t="s">
        <v>481</v>
      </c>
      <c r="P3" s="28" t="s">
        <v>475</v>
      </c>
      <c r="Q3" t="s">
        <v>479</v>
      </c>
      <c r="S3" s="28" t="s">
        <v>475</v>
      </c>
      <c r="T3" t="s">
        <v>480</v>
      </c>
      <c r="V3" s="28" t="s">
        <v>475</v>
      </c>
      <c r="W3" t="s">
        <v>479</v>
      </c>
      <c r="Y3" s="28" t="s">
        <v>475</v>
      </c>
      <c r="Z3" t="s">
        <v>479</v>
      </c>
      <c r="AD3" s="28" t="s">
        <v>475</v>
      </c>
      <c r="AE3" t="s">
        <v>479</v>
      </c>
    </row>
    <row r="4" spans="6:31" x14ac:dyDescent="0.35">
      <c r="F4" t="s">
        <v>34</v>
      </c>
      <c r="G4" t="s">
        <v>33</v>
      </c>
      <c r="H4" s="30">
        <v>87</v>
      </c>
      <c r="I4" s="30">
        <v>5219.1299999999974</v>
      </c>
      <c r="P4" s="29" t="s">
        <v>477</v>
      </c>
      <c r="Q4" s="30">
        <v>52088.219999999958</v>
      </c>
      <c r="S4" s="29" t="s">
        <v>477</v>
      </c>
      <c r="T4" s="30">
        <v>527</v>
      </c>
      <c r="V4" s="29" t="s">
        <v>22</v>
      </c>
      <c r="W4" s="30">
        <v>14219.459999999992</v>
      </c>
      <c r="Y4" s="29" t="s">
        <v>33</v>
      </c>
      <c r="Z4" s="30">
        <v>1739.71</v>
      </c>
      <c r="AD4" s="29" t="s">
        <v>22</v>
      </c>
      <c r="AE4" s="30">
        <v>14219.459999999992</v>
      </c>
    </row>
    <row r="5" spans="6:31" x14ac:dyDescent="0.35">
      <c r="G5" t="s">
        <v>177</v>
      </c>
      <c r="H5" s="30">
        <v>39</v>
      </c>
      <c r="I5" s="30">
        <v>3119.6099999999992</v>
      </c>
      <c r="P5" s="29" t="s">
        <v>478</v>
      </c>
      <c r="Q5" s="30">
        <v>22079.280000000017</v>
      </c>
      <c r="S5" s="29" t="s">
        <v>478</v>
      </c>
      <c r="T5" s="30">
        <v>226</v>
      </c>
      <c r="V5" s="29" t="s">
        <v>64</v>
      </c>
      <c r="W5" s="30">
        <v>16569.519999999997</v>
      </c>
      <c r="Y5" s="29" t="s">
        <v>46</v>
      </c>
      <c r="Z5" s="30">
        <v>5249.649999999996</v>
      </c>
      <c r="AD5" s="29" t="s">
        <v>64</v>
      </c>
      <c r="AE5" s="30">
        <v>16569.519999999997</v>
      </c>
    </row>
    <row r="6" spans="6:31" x14ac:dyDescent="0.35">
      <c r="F6" t="s">
        <v>20</v>
      </c>
      <c r="G6" t="s">
        <v>54</v>
      </c>
      <c r="H6" s="30">
        <v>47</v>
      </c>
      <c r="I6" s="30">
        <v>7049.5299999999988</v>
      </c>
      <c r="P6" s="29" t="s">
        <v>476</v>
      </c>
      <c r="Q6" s="30">
        <v>74167.499999999971</v>
      </c>
      <c r="S6" s="29" t="s">
        <v>476</v>
      </c>
      <c r="T6" s="30">
        <v>753</v>
      </c>
      <c r="V6" s="29" t="s">
        <v>41</v>
      </c>
      <c r="W6" s="30">
        <v>19749.41</v>
      </c>
      <c r="Y6" s="29" t="s">
        <v>177</v>
      </c>
      <c r="Z6" s="30">
        <v>1119.8599999999999</v>
      </c>
      <c r="AD6" s="31">
        <v>45405</v>
      </c>
      <c r="AE6" s="30">
        <v>899.99</v>
      </c>
    </row>
    <row r="7" spans="6:31" x14ac:dyDescent="0.35">
      <c r="G7" t="s">
        <v>180</v>
      </c>
      <c r="H7" s="30">
        <v>89</v>
      </c>
      <c r="I7" s="30">
        <v>8009.1099999999969</v>
      </c>
      <c r="V7" s="29" t="s">
        <v>36</v>
      </c>
      <c r="W7" s="30">
        <v>10189.579999999994</v>
      </c>
      <c r="Y7" s="29" t="s">
        <v>168</v>
      </c>
      <c r="Z7" s="30">
        <v>7799.7399999999961</v>
      </c>
      <c r="AD7" s="31">
        <v>45413</v>
      </c>
      <c r="AE7" s="30">
        <v>699.99</v>
      </c>
    </row>
    <row r="8" spans="6:31" x14ac:dyDescent="0.35">
      <c r="G8" t="s">
        <v>63</v>
      </c>
      <c r="H8" s="30">
        <v>75</v>
      </c>
      <c r="I8" s="30">
        <v>67499.25</v>
      </c>
      <c r="V8" s="29" t="s">
        <v>51</v>
      </c>
      <c r="W8" s="30">
        <v>13439.529999999992</v>
      </c>
      <c r="Y8" s="29" t="s">
        <v>54</v>
      </c>
      <c r="Z8" s="30">
        <v>2399.84</v>
      </c>
      <c r="AD8" s="31">
        <v>45424</v>
      </c>
      <c r="AE8" s="30">
        <v>379.98</v>
      </c>
    </row>
    <row r="9" spans="6:31" x14ac:dyDescent="0.35">
      <c r="G9" t="s">
        <v>19</v>
      </c>
      <c r="H9" s="30">
        <v>88</v>
      </c>
      <c r="I9" s="30">
        <v>21999.119999999999</v>
      </c>
      <c r="V9" s="29" t="s">
        <v>476</v>
      </c>
      <c r="W9" s="30">
        <v>74167.499999999971</v>
      </c>
      <c r="Y9" s="29" t="s">
        <v>180</v>
      </c>
      <c r="Z9" s="30">
        <v>3059.6599999999976</v>
      </c>
      <c r="AD9" s="31">
        <v>45427</v>
      </c>
      <c r="AE9" s="30">
        <v>59.99</v>
      </c>
    </row>
    <row r="10" spans="6:31" x14ac:dyDescent="0.35">
      <c r="G10" t="s">
        <v>143</v>
      </c>
      <c r="H10" s="30">
        <v>96</v>
      </c>
      <c r="I10" s="30">
        <v>67199.039999999994</v>
      </c>
      <c r="Y10" s="29" t="s">
        <v>63</v>
      </c>
      <c r="Z10" s="30">
        <v>21599.760000000006</v>
      </c>
      <c r="AD10" s="31">
        <v>45434</v>
      </c>
      <c r="AE10" s="30">
        <v>299.99</v>
      </c>
    </row>
    <row r="11" spans="6:31" x14ac:dyDescent="0.35">
      <c r="F11" t="s">
        <v>47</v>
      </c>
      <c r="G11" t="s">
        <v>46</v>
      </c>
      <c r="H11" s="30">
        <v>102</v>
      </c>
      <c r="I11" s="30">
        <v>15298.979999999994</v>
      </c>
      <c r="Y11" s="29" t="s">
        <v>19</v>
      </c>
      <c r="Z11" s="30">
        <v>6499.7399999999961</v>
      </c>
      <c r="AD11" s="31">
        <v>45446</v>
      </c>
      <c r="AE11" s="30">
        <v>89.99</v>
      </c>
    </row>
    <row r="12" spans="6:31" x14ac:dyDescent="0.35">
      <c r="G12" t="s">
        <v>168</v>
      </c>
      <c r="H12" s="30">
        <v>78</v>
      </c>
      <c r="I12" s="30">
        <v>23399.22</v>
      </c>
      <c r="Y12" s="29" t="s">
        <v>189</v>
      </c>
      <c r="Z12" s="30">
        <v>2999.8499999999995</v>
      </c>
      <c r="AD12" s="31">
        <v>45449</v>
      </c>
      <c r="AE12" s="30">
        <v>249.99</v>
      </c>
    </row>
    <row r="13" spans="6:31" x14ac:dyDescent="0.35">
      <c r="G13" t="s">
        <v>189</v>
      </c>
      <c r="H13" s="30">
        <v>52</v>
      </c>
      <c r="I13" s="30">
        <v>10399.479999999998</v>
      </c>
      <c r="Y13" s="29" t="s">
        <v>143</v>
      </c>
      <c r="Z13" s="30">
        <v>21699.69000000001</v>
      </c>
      <c r="AD13" s="31">
        <v>45450</v>
      </c>
      <c r="AE13" s="30">
        <v>149.99</v>
      </c>
    </row>
    <row r="14" spans="6:31" x14ac:dyDescent="0.35">
      <c r="F14" t="s">
        <v>476</v>
      </c>
      <c r="H14" s="30">
        <v>753</v>
      </c>
      <c r="I14" s="30">
        <v>229192.46999999997</v>
      </c>
      <c r="Y14" s="29" t="s">
        <v>476</v>
      </c>
      <c r="Z14" s="30">
        <v>74167.5</v>
      </c>
      <c r="AD14" s="31">
        <v>45452</v>
      </c>
      <c r="AE14" s="30">
        <v>59.99</v>
      </c>
    </row>
    <row r="15" spans="6:31" x14ac:dyDescent="0.35">
      <c r="AD15" s="31">
        <v>45459</v>
      </c>
      <c r="AE15" s="30">
        <v>899.99</v>
      </c>
    </row>
    <row r="16" spans="6:31" x14ac:dyDescent="0.35">
      <c r="AD16" s="31">
        <v>45460</v>
      </c>
      <c r="AE16" s="30">
        <v>299.99</v>
      </c>
    </row>
    <row r="17" spans="30:31" x14ac:dyDescent="0.35">
      <c r="AD17" s="31">
        <v>45471</v>
      </c>
      <c r="AE17" s="30">
        <v>1599.98</v>
      </c>
    </row>
    <row r="18" spans="30:31" x14ac:dyDescent="0.35">
      <c r="AD18" s="31">
        <v>45472</v>
      </c>
      <c r="AE18" s="30">
        <v>149.99</v>
      </c>
    </row>
    <row r="19" spans="30:31" x14ac:dyDescent="0.35">
      <c r="AD19" s="31">
        <v>45481</v>
      </c>
      <c r="AE19" s="30">
        <v>699.99</v>
      </c>
    </row>
    <row r="20" spans="30:31" x14ac:dyDescent="0.35">
      <c r="AD20" s="31">
        <v>45510</v>
      </c>
      <c r="AE20" s="30">
        <v>149.99</v>
      </c>
    </row>
    <row r="21" spans="30:31" x14ac:dyDescent="0.35">
      <c r="AD21" s="31">
        <v>45517</v>
      </c>
      <c r="AE21" s="30">
        <v>249.99</v>
      </c>
    </row>
    <row r="22" spans="30:31" x14ac:dyDescent="0.35">
      <c r="AD22" s="31">
        <v>45522</v>
      </c>
      <c r="AE22" s="30">
        <v>89.99</v>
      </c>
    </row>
    <row r="23" spans="30:31" x14ac:dyDescent="0.35">
      <c r="AD23" s="31">
        <v>45523</v>
      </c>
      <c r="AE23" s="30">
        <v>1049.98</v>
      </c>
    </row>
    <row r="24" spans="30:31" x14ac:dyDescent="0.35">
      <c r="AD24" s="31">
        <v>45544</v>
      </c>
      <c r="AE24" s="30">
        <v>59.99</v>
      </c>
    </row>
    <row r="25" spans="30:31" x14ac:dyDescent="0.35">
      <c r="AD25" s="31">
        <v>45551</v>
      </c>
      <c r="AE25" s="30">
        <v>199.99</v>
      </c>
    </row>
    <row r="26" spans="30:31" x14ac:dyDescent="0.35">
      <c r="AD26" s="31">
        <v>45554</v>
      </c>
      <c r="AE26" s="30">
        <v>239.98000000000002</v>
      </c>
    </row>
    <row r="27" spans="30:31" x14ac:dyDescent="0.35">
      <c r="AD27" s="31">
        <v>45560</v>
      </c>
      <c r="AE27" s="30">
        <v>149.99</v>
      </c>
    </row>
    <row r="28" spans="30:31" x14ac:dyDescent="0.35">
      <c r="AD28" s="31">
        <v>45564</v>
      </c>
      <c r="AE28" s="30">
        <v>199.99</v>
      </c>
    </row>
    <row r="29" spans="30:31" x14ac:dyDescent="0.35">
      <c r="AD29" s="31">
        <v>45573</v>
      </c>
      <c r="AE29" s="30">
        <v>699.99</v>
      </c>
    </row>
    <row r="30" spans="30:31" x14ac:dyDescent="0.35">
      <c r="AD30" s="31">
        <v>45581</v>
      </c>
      <c r="AE30" s="30">
        <v>1599.98</v>
      </c>
    </row>
    <row r="31" spans="30:31" x14ac:dyDescent="0.35">
      <c r="AD31" s="31">
        <v>45629</v>
      </c>
      <c r="AE31" s="30">
        <v>249.99</v>
      </c>
    </row>
    <row r="32" spans="30:31" x14ac:dyDescent="0.35">
      <c r="AD32" s="31">
        <v>45635</v>
      </c>
      <c r="AE32" s="30">
        <v>79.989999999999995</v>
      </c>
    </row>
    <row r="33" spans="30:31" x14ac:dyDescent="0.35">
      <c r="AD33" s="31">
        <v>45636</v>
      </c>
      <c r="AE33" s="30">
        <v>79.989999999999995</v>
      </c>
    </row>
    <row r="34" spans="30:31" x14ac:dyDescent="0.35">
      <c r="AD34" s="31">
        <v>45641</v>
      </c>
      <c r="AE34" s="30">
        <v>449.98</v>
      </c>
    </row>
    <row r="35" spans="30:31" x14ac:dyDescent="0.35">
      <c r="AD35" s="31">
        <v>45645</v>
      </c>
      <c r="AE35" s="30">
        <v>899.99</v>
      </c>
    </row>
    <row r="36" spans="30:31" x14ac:dyDescent="0.35">
      <c r="AD36" s="31">
        <v>45663</v>
      </c>
      <c r="AE36" s="30">
        <v>149.99</v>
      </c>
    </row>
    <row r="37" spans="30:31" x14ac:dyDescent="0.35">
      <c r="AD37" s="31">
        <v>45668</v>
      </c>
      <c r="AE37" s="30">
        <v>149.99</v>
      </c>
    </row>
    <row r="38" spans="30:31" x14ac:dyDescent="0.35">
      <c r="AD38" s="31">
        <v>45673</v>
      </c>
      <c r="AE38" s="30">
        <v>149.99</v>
      </c>
    </row>
    <row r="39" spans="30:31" x14ac:dyDescent="0.35">
      <c r="AD39" s="31">
        <v>45676</v>
      </c>
      <c r="AE39" s="30">
        <v>59.99</v>
      </c>
    </row>
    <row r="40" spans="30:31" x14ac:dyDescent="0.35">
      <c r="AD40" s="31">
        <v>45682</v>
      </c>
      <c r="AE40" s="30">
        <v>59.99</v>
      </c>
    </row>
    <row r="41" spans="30:31" x14ac:dyDescent="0.35">
      <c r="AD41" s="31">
        <v>45701</v>
      </c>
      <c r="AE41" s="30">
        <v>79.989999999999995</v>
      </c>
    </row>
    <row r="42" spans="30:31" x14ac:dyDescent="0.35">
      <c r="AD42" s="31">
        <v>45708</v>
      </c>
      <c r="AE42" s="30">
        <v>899.99</v>
      </c>
    </row>
    <row r="43" spans="30:31" x14ac:dyDescent="0.35">
      <c r="AD43" s="31">
        <v>45720</v>
      </c>
      <c r="AE43" s="30">
        <v>699.99</v>
      </c>
    </row>
    <row r="44" spans="30:31" x14ac:dyDescent="0.35">
      <c r="AD44" s="31">
        <v>45723</v>
      </c>
      <c r="AE44" s="30">
        <v>249.99</v>
      </c>
    </row>
    <row r="45" spans="30:31" x14ac:dyDescent="0.35">
      <c r="AD45" s="31">
        <v>45724</v>
      </c>
      <c r="AE45" s="30">
        <v>899.99</v>
      </c>
    </row>
    <row r="46" spans="30:31" x14ac:dyDescent="0.35">
      <c r="AD46" s="31">
        <v>45756</v>
      </c>
      <c r="AE46" s="30">
        <v>89.99</v>
      </c>
    </row>
    <row r="47" spans="30:31" x14ac:dyDescent="0.35">
      <c r="AD47" s="31">
        <v>45758</v>
      </c>
      <c r="AE47" s="30">
        <v>89.99</v>
      </c>
    </row>
    <row r="48" spans="30:31" x14ac:dyDescent="0.35">
      <c r="AD48" s="29" t="s">
        <v>41</v>
      </c>
      <c r="AE48" s="30">
        <v>19749.41</v>
      </c>
    </row>
    <row r="49" spans="30:31" x14ac:dyDescent="0.35">
      <c r="AD49" s="29" t="s">
        <v>36</v>
      </c>
      <c r="AE49" s="30">
        <v>10189.579999999994</v>
      </c>
    </row>
    <row r="50" spans="30:31" x14ac:dyDescent="0.35">
      <c r="AD50" s="29" t="s">
        <v>51</v>
      </c>
      <c r="AE50" s="30">
        <v>13439.529999999992</v>
      </c>
    </row>
    <row r="51" spans="30:31" x14ac:dyDescent="0.35">
      <c r="AD51" s="29" t="s">
        <v>476</v>
      </c>
      <c r="AE51" s="30">
        <v>74167.500000000029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A453-63AA-4C84-B849-DF3F45D1AAD0}">
  <dimension ref="A1:C52"/>
  <sheetViews>
    <sheetView zoomScale="64" workbookViewId="0">
      <selection activeCell="C26" sqref="C26"/>
    </sheetView>
  </sheetViews>
  <sheetFormatPr defaultColWidth="16.36328125" defaultRowHeight="16.25" customHeight="1" x14ac:dyDescent="0.35"/>
  <cols>
    <col min="3" max="3" width="17.90625" customWidth="1"/>
  </cols>
  <sheetData>
    <row r="1" spans="1:3" ht="16.25" customHeight="1" x14ac:dyDescent="0.35">
      <c r="A1" s="25" t="s">
        <v>469</v>
      </c>
      <c r="B1" s="25" t="s">
        <v>470</v>
      </c>
      <c r="C1" s="25" t="s">
        <v>471</v>
      </c>
    </row>
    <row r="2" spans="1:3" ht="16.25" customHeight="1" x14ac:dyDescent="0.35">
      <c r="A2" s="21" t="s">
        <v>17</v>
      </c>
      <c r="B2" s="9">
        <f>SUMIFS('Final Project Dataset'!$N:$N,'Final Project Dataset'!$D:$D,A2)</f>
        <v>8309.739999999998</v>
      </c>
      <c r="C2" s="9" t="str">
        <f>IF(B2&gt;=10000,"High value","Normal")</f>
        <v>Normal</v>
      </c>
    </row>
    <row r="3" spans="1:3" ht="16.25" customHeight="1" x14ac:dyDescent="0.35">
      <c r="A3" s="21" t="s">
        <v>26</v>
      </c>
      <c r="B3" s="9">
        <f>SUMIFS('Final Project Dataset'!$N:$N,'Final Project Dataset'!$D:$D,A3)</f>
        <v>6949.84</v>
      </c>
      <c r="C3" s="9" t="str">
        <f t="shared" ref="C3:C52" si="0">IF(B3&gt;=10000,"High value","Normal")</f>
        <v>Normal</v>
      </c>
    </row>
    <row r="4" spans="1:3" ht="16.25" customHeight="1" x14ac:dyDescent="0.35">
      <c r="A4" s="21" t="s">
        <v>31</v>
      </c>
      <c r="B4" s="9">
        <f>SUMIFS('Final Project Dataset'!$N:$N,'Final Project Dataset'!$D:$D,A4)</f>
        <v>3259.87</v>
      </c>
      <c r="C4" s="9" t="str">
        <f t="shared" si="0"/>
        <v>Normal</v>
      </c>
    </row>
    <row r="5" spans="1:3" ht="16.25" customHeight="1" x14ac:dyDescent="0.35">
      <c r="A5" s="21" t="s">
        <v>40</v>
      </c>
      <c r="B5" s="9">
        <f>SUMIFS('Final Project Dataset'!$N:$N,'Final Project Dataset'!$D:$D,A5)</f>
        <v>4309.8099999999995</v>
      </c>
      <c r="C5" s="9" t="str">
        <f t="shared" si="0"/>
        <v>Normal</v>
      </c>
    </row>
    <row r="6" spans="1:3" ht="16.25" customHeight="1" x14ac:dyDescent="0.35">
      <c r="A6" s="21" t="s">
        <v>44</v>
      </c>
      <c r="B6" s="9">
        <f>SUMIFS('Final Project Dataset'!$N:$N,'Final Project Dataset'!$D:$D,A6)</f>
        <v>6169.7400000000007</v>
      </c>
      <c r="C6" s="9" t="str">
        <f t="shared" si="0"/>
        <v>Normal</v>
      </c>
    </row>
    <row r="7" spans="1:3" ht="16.25" customHeight="1" x14ac:dyDescent="0.35">
      <c r="A7" s="21" t="s">
        <v>50</v>
      </c>
      <c r="B7" s="9">
        <f>SUMIFS('Final Project Dataset'!$N:$N,'Final Project Dataset'!$D:$D,A7)</f>
        <v>8269.7900000000009</v>
      </c>
      <c r="C7" s="9" t="str">
        <f t="shared" si="0"/>
        <v>Normal</v>
      </c>
    </row>
    <row r="8" spans="1:3" ht="16.25" customHeight="1" x14ac:dyDescent="0.35">
      <c r="A8" s="21" t="s">
        <v>57</v>
      </c>
      <c r="B8" s="9">
        <f>SUMIFS('Final Project Dataset'!$N:$N,'Final Project Dataset'!$D:$D,A8)</f>
        <v>5089.7300000000005</v>
      </c>
      <c r="C8" s="9" t="str">
        <f t="shared" si="0"/>
        <v>Normal</v>
      </c>
    </row>
    <row r="9" spans="1:3" ht="16.25" customHeight="1" x14ac:dyDescent="0.35">
      <c r="A9" s="21" t="s">
        <v>61</v>
      </c>
      <c r="B9" s="9">
        <f>SUMIFS('Final Project Dataset'!$N:$N,'Final Project Dataset'!$D:$D,A9)</f>
        <v>3509.8999999999996</v>
      </c>
      <c r="C9" s="9" t="str">
        <f t="shared" si="0"/>
        <v>Normal</v>
      </c>
    </row>
    <row r="10" spans="1:3" ht="16.25" customHeight="1" x14ac:dyDescent="0.35">
      <c r="A10" s="21" t="s">
        <v>128</v>
      </c>
      <c r="B10" s="9">
        <f>SUMIFS('Final Project Dataset'!$N:$N,'Final Project Dataset'!$D:$D,A10)</f>
        <v>8009.7699999999995</v>
      </c>
      <c r="C10" s="9" t="str">
        <f t="shared" si="0"/>
        <v>Normal</v>
      </c>
    </row>
    <row r="11" spans="1:3" ht="16.25" customHeight="1" x14ac:dyDescent="0.35">
      <c r="A11" s="21" t="s">
        <v>131</v>
      </c>
      <c r="B11" s="9">
        <f>SUMIFS('Final Project Dataset'!$N:$N,'Final Project Dataset'!$D:$D,A11)</f>
        <v>1979.89</v>
      </c>
      <c r="C11" s="9" t="str">
        <f t="shared" si="0"/>
        <v>Normal</v>
      </c>
    </row>
    <row r="12" spans="1:3" ht="16.25" customHeight="1" x14ac:dyDescent="0.35">
      <c r="A12" s="21" t="s">
        <v>135</v>
      </c>
      <c r="B12" s="9">
        <f>SUMIFS('Final Project Dataset'!$N:$N,'Final Project Dataset'!$D:$D,A12)</f>
        <v>5949.85</v>
      </c>
      <c r="C12" s="9" t="str">
        <f t="shared" si="0"/>
        <v>Normal</v>
      </c>
    </row>
    <row r="13" spans="1:3" ht="16.25" customHeight="1" x14ac:dyDescent="0.35">
      <c r="A13" s="21" t="s">
        <v>138</v>
      </c>
      <c r="B13" s="9">
        <f>SUMIFS('Final Project Dataset'!$N:$N,'Final Project Dataset'!$D:$D,A13)</f>
        <v>479.91999999999996</v>
      </c>
      <c r="C13" s="9" t="str">
        <f t="shared" si="0"/>
        <v>Normal</v>
      </c>
    </row>
    <row r="14" spans="1:3" ht="16.25" customHeight="1" x14ac:dyDescent="0.35">
      <c r="A14" s="21" t="s">
        <v>141</v>
      </c>
      <c r="B14" s="9">
        <f>SUMIFS('Final Project Dataset'!$N:$N,'Final Project Dataset'!$D:$D,A14)</f>
        <v>4199.9399999999996</v>
      </c>
      <c r="C14" s="9" t="str">
        <f t="shared" si="0"/>
        <v>Normal</v>
      </c>
    </row>
    <row r="15" spans="1:3" ht="16.25" customHeight="1" x14ac:dyDescent="0.35">
      <c r="A15" s="21" t="s">
        <v>146</v>
      </c>
      <c r="B15" s="9">
        <f>SUMIFS('Final Project Dataset'!$N:$N,'Final Project Dataset'!$D:$D,A15)</f>
        <v>3779.93</v>
      </c>
      <c r="C15" s="9" t="str">
        <f t="shared" si="0"/>
        <v>Normal</v>
      </c>
    </row>
    <row r="16" spans="1:3" ht="16.25" customHeight="1" x14ac:dyDescent="0.35">
      <c r="A16" s="21" t="s">
        <v>149</v>
      </c>
      <c r="B16" s="9">
        <f>SUMIFS('Final Project Dataset'!$N:$N,'Final Project Dataset'!$D:$D,A16)</f>
        <v>15659.65</v>
      </c>
      <c r="C16" s="9" t="str">
        <f t="shared" si="0"/>
        <v>High value</v>
      </c>
    </row>
    <row r="17" spans="1:3" ht="16.25" customHeight="1" x14ac:dyDescent="0.35">
      <c r="A17" s="21" t="s">
        <v>152</v>
      </c>
      <c r="B17" s="9">
        <f>SUMIFS('Final Project Dataset'!$N:$N,'Final Project Dataset'!$D:$D,A17)</f>
        <v>1909.93</v>
      </c>
      <c r="C17" s="9" t="str">
        <f t="shared" si="0"/>
        <v>Normal</v>
      </c>
    </row>
    <row r="18" spans="1:3" ht="16.25" customHeight="1" x14ac:dyDescent="0.35">
      <c r="A18" s="21" t="s">
        <v>156</v>
      </c>
      <c r="B18" s="9">
        <f>SUMIFS('Final Project Dataset'!$N:$N,'Final Project Dataset'!$D:$D,A18)</f>
        <v>4789.7900000000009</v>
      </c>
      <c r="C18" s="9" t="str">
        <f t="shared" si="0"/>
        <v>Normal</v>
      </c>
    </row>
    <row r="19" spans="1:3" ht="16.25" customHeight="1" x14ac:dyDescent="0.35">
      <c r="A19" s="21" t="s">
        <v>159</v>
      </c>
      <c r="B19" s="9">
        <f>SUMIFS('Final Project Dataset'!$N:$N,'Final Project Dataset'!$D:$D,A19)</f>
        <v>10649.8</v>
      </c>
      <c r="C19" s="9" t="str">
        <f t="shared" si="0"/>
        <v>High value</v>
      </c>
    </row>
    <row r="20" spans="1:3" ht="16.25" customHeight="1" x14ac:dyDescent="0.35">
      <c r="A20" s="21" t="s">
        <v>162</v>
      </c>
      <c r="B20" s="9">
        <f>SUMIFS('Final Project Dataset'!$N:$N,'Final Project Dataset'!$D:$D,A20)</f>
        <v>9799.73</v>
      </c>
      <c r="C20" s="9" t="str">
        <f t="shared" si="0"/>
        <v>Normal</v>
      </c>
    </row>
    <row r="21" spans="1:3" ht="16.25" customHeight="1" x14ac:dyDescent="0.35">
      <c r="A21" s="21" t="s">
        <v>165</v>
      </c>
      <c r="B21" s="9">
        <f>SUMIFS('Final Project Dataset'!$N:$N,'Final Project Dataset'!$D:$D,A21)</f>
        <v>3769.8300000000004</v>
      </c>
      <c r="C21" s="9" t="str">
        <f t="shared" si="0"/>
        <v>Normal</v>
      </c>
    </row>
    <row r="22" spans="1:3" ht="16.25" customHeight="1" x14ac:dyDescent="0.35">
      <c r="A22" s="21" t="s">
        <v>171</v>
      </c>
      <c r="B22" s="9">
        <f>SUMIFS('Final Project Dataset'!$N:$N,'Final Project Dataset'!$D:$D,A22)</f>
        <v>4189.7700000000004</v>
      </c>
      <c r="C22" s="9" t="str">
        <f t="shared" si="0"/>
        <v>Normal</v>
      </c>
    </row>
    <row r="23" spans="1:3" ht="16.25" customHeight="1" x14ac:dyDescent="0.35">
      <c r="A23" s="21" t="s">
        <v>175</v>
      </c>
      <c r="B23" s="9">
        <f>SUMIFS('Final Project Dataset'!$N:$N,'Final Project Dataset'!$D:$D,A23)</f>
        <v>1289.9000000000001</v>
      </c>
      <c r="C23" s="9" t="str">
        <f t="shared" si="0"/>
        <v>Normal</v>
      </c>
    </row>
    <row r="24" spans="1:3" ht="16.25" customHeight="1" x14ac:dyDescent="0.35">
      <c r="A24" s="21" t="s">
        <v>183</v>
      </c>
      <c r="B24" s="9">
        <f>SUMIFS('Final Project Dataset'!$N:$N,'Final Project Dataset'!$D:$D,A24)</f>
        <v>6459.79</v>
      </c>
      <c r="C24" s="9" t="str">
        <f t="shared" si="0"/>
        <v>Normal</v>
      </c>
    </row>
    <row r="25" spans="1:3" ht="16.25" customHeight="1" x14ac:dyDescent="0.35">
      <c r="A25" s="21" t="s">
        <v>463</v>
      </c>
      <c r="B25" s="9">
        <f>SUMIFS('Final Project Dataset'!$N:$N,'Final Project Dataset'!$D:$D,A25)</f>
        <v>239.96</v>
      </c>
      <c r="C25" s="9" t="str">
        <f t="shared" si="0"/>
        <v>Normal</v>
      </c>
    </row>
    <row r="26" spans="1:3" ht="16.25" customHeight="1" x14ac:dyDescent="0.35">
      <c r="A26" s="21" t="s">
        <v>192</v>
      </c>
      <c r="B26" s="9">
        <f>SUMIFS('Final Project Dataset'!$N:$N,'Final Project Dataset'!$D:$D,A26)</f>
        <v>2039.8000000000002</v>
      </c>
      <c r="C26" s="9" t="str">
        <f t="shared" si="0"/>
        <v>Normal</v>
      </c>
    </row>
    <row r="27" spans="1:3" ht="16.25" customHeight="1" x14ac:dyDescent="0.35">
      <c r="A27" s="21" t="s">
        <v>195</v>
      </c>
      <c r="B27" s="9">
        <f>SUMIFS('Final Project Dataset'!$N:$N,'Final Project Dataset'!$D:$D,A27)</f>
        <v>1229.8800000000001</v>
      </c>
      <c r="C27" s="9" t="str">
        <f t="shared" si="0"/>
        <v>Normal</v>
      </c>
    </row>
    <row r="28" spans="1:3" ht="16.25" customHeight="1" x14ac:dyDescent="0.35">
      <c r="A28" s="21" t="s">
        <v>201</v>
      </c>
      <c r="B28" s="9">
        <f>SUMIFS('Final Project Dataset'!$N:$N,'Final Project Dataset'!$D:$D,A28)</f>
        <v>2649.83</v>
      </c>
      <c r="C28" s="9" t="str">
        <f t="shared" si="0"/>
        <v>Normal</v>
      </c>
    </row>
    <row r="29" spans="1:3" ht="16.25" customHeight="1" x14ac:dyDescent="0.35">
      <c r="A29" s="21" t="s">
        <v>204</v>
      </c>
      <c r="B29" s="9">
        <f>SUMIFS('Final Project Dataset'!$N:$N,'Final Project Dataset'!$D:$D,A29)</f>
        <v>4739.8500000000004</v>
      </c>
      <c r="C29" s="9" t="str">
        <f t="shared" si="0"/>
        <v>Normal</v>
      </c>
    </row>
    <row r="30" spans="1:3" ht="16.25" customHeight="1" x14ac:dyDescent="0.35">
      <c r="A30" s="21" t="s">
        <v>207</v>
      </c>
      <c r="B30" s="9">
        <f>SUMIFS('Final Project Dataset'!$N:$N,'Final Project Dataset'!$D:$D,A30)</f>
        <v>5519.8899999999994</v>
      </c>
      <c r="C30" s="9" t="str">
        <f t="shared" si="0"/>
        <v>Normal</v>
      </c>
    </row>
    <row r="31" spans="1:3" ht="16.25" customHeight="1" x14ac:dyDescent="0.35">
      <c r="A31" s="21" t="s">
        <v>210</v>
      </c>
      <c r="B31" s="9">
        <f>SUMIFS('Final Project Dataset'!$N:$N,'Final Project Dataset'!$D:$D,A31)</f>
        <v>7309.7999999999993</v>
      </c>
      <c r="C31" s="9" t="str">
        <f t="shared" si="0"/>
        <v>Normal</v>
      </c>
    </row>
    <row r="32" spans="1:3" ht="16.25" customHeight="1" x14ac:dyDescent="0.35">
      <c r="A32" s="21" t="s">
        <v>213</v>
      </c>
      <c r="B32" s="9">
        <f>SUMIFS('Final Project Dataset'!$N:$N,'Final Project Dataset'!$D:$D,A32)</f>
        <v>5619.869999999999</v>
      </c>
      <c r="C32" s="9" t="str">
        <f t="shared" si="0"/>
        <v>Normal</v>
      </c>
    </row>
    <row r="33" spans="1:3" ht="16.25" customHeight="1" x14ac:dyDescent="0.35">
      <c r="A33" s="21" t="s">
        <v>217</v>
      </c>
      <c r="B33" s="9">
        <f>SUMIFS('Final Project Dataset'!$N:$N,'Final Project Dataset'!$D:$D,A33)</f>
        <v>5499.8099999999995</v>
      </c>
      <c r="C33" s="9" t="str">
        <f t="shared" si="0"/>
        <v>Normal</v>
      </c>
    </row>
    <row r="34" spans="1:3" ht="16.25" customHeight="1" x14ac:dyDescent="0.35">
      <c r="A34" s="21" t="s">
        <v>221</v>
      </c>
      <c r="B34" s="9">
        <f>SUMIFS('Final Project Dataset'!$N:$N,'Final Project Dataset'!$D:$D,A34)</f>
        <v>5649.84</v>
      </c>
      <c r="C34" s="9" t="str">
        <f t="shared" si="0"/>
        <v>Normal</v>
      </c>
    </row>
    <row r="35" spans="1:3" ht="16.25" customHeight="1" x14ac:dyDescent="0.35">
      <c r="A35" s="21" t="s">
        <v>225</v>
      </c>
      <c r="B35" s="9">
        <f>SUMIFS('Final Project Dataset'!$N:$N,'Final Project Dataset'!$D:$D,A35)</f>
        <v>239.96</v>
      </c>
      <c r="C35" s="9" t="str">
        <f t="shared" si="0"/>
        <v>Normal</v>
      </c>
    </row>
    <row r="36" spans="1:3" ht="16.25" customHeight="1" x14ac:dyDescent="0.35">
      <c r="A36" s="21" t="s">
        <v>186</v>
      </c>
      <c r="B36" s="9">
        <f>SUMIFS('Final Project Dataset'!$N:$N,'Final Project Dataset'!$D:$D,A36)</f>
        <v>11679.81</v>
      </c>
      <c r="C36" s="9" t="str">
        <f t="shared" si="0"/>
        <v>High value</v>
      </c>
    </row>
    <row r="37" spans="1:3" ht="16.25" customHeight="1" x14ac:dyDescent="0.35">
      <c r="A37" s="21" t="s">
        <v>234</v>
      </c>
      <c r="B37" s="9">
        <f>SUMIFS('Final Project Dataset'!$N:$N,'Final Project Dataset'!$D:$D,A37)</f>
        <v>3669.8500000000004</v>
      </c>
      <c r="C37" s="9" t="str">
        <f t="shared" si="0"/>
        <v>Normal</v>
      </c>
    </row>
    <row r="38" spans="1:3" ht="16.25" customHeight="1" x14ac:dyDescent="0.35">
      <c r="A38" s="21" t="s">
        <v>245</v>
      </c>
      <c r="B38" s="9">
        <f>SUMIFS('Final Project Dataset'!$N:$N,'Final Project Dataset'!$D:$D,A38)</f>
        <v>1809.84</v>
      </c>
      <c r="C38" s="9" t="str">
        <f t="shared" si="0"/>
        <v>Normal</v>
      </c>
    </row>
    <row r="39" spans="1:3" ht="16.25" customHeight="1" x14ac:dyDescent="0.35">
      <c r="A39" s="21" t="s">
        <v>248</v>
      </c>
      <c r="B39" s="9">
        <f>SUMIFS('Final Project Dataset'!$N:$N,'Final Project Dataset'!$D:$D,A39)</f>
        <v>2099.88</v>
      </c>
      <c r="C39" s="9" t="str">
        <f t="shared" si="0"/>
        <v>Normal</v>
      </c>
    </row>
    <row r="40" spans="1:3" ht="16.25" customHeight="1" x14ac:dyDescent="0.35">
      <c r="A40" s="21" t="s">
        <v>255</v>
      </c>
      <c r="B40" s="9">
        <f>SUMIFS('Final Project Dataset'!$N:$N,'Final Project Dataset'!$D:$D,A40)</f>
        <v>1479.91</v>
      </c>
      <c r="C40" s="9" t="str">
        <f t="shared" si="0"/>
        <v>Normal</v>
      </c>
    </row>
    <row r="41" spans="1:3" ht="16.25" customHeight="1" x14ac:dyDescent="0.35">
      <c r="A41" s="21" t="s">
        <v>259</v>
      </c>
      <c r="B41" s="9">
        <f>SUMIFS('Final Project Dataset'!$N:$N,'Final Project Dataset'!$D:$D,A41)</f>
        <v>6379.87</v>
      </c>
      <c r="C41" s="9" t="str">
        <f t="shared" si="0"/>
        <v>Normal</v>
      </c>
    </row>
    <row r="42" spans="1:3" ht="16.25" customHeight="1" x14ac:dyDescent="0.35">
      <c r="A42" s="21" t="s">
        <v>274</v>
      </c>
      <c r="B42" s="9">
        <f>SUMIFS('Final Project Dataset'!$N:$N,'Final Project Dataset'!$D:$D,A42)</f>
        <v>3649.8599999999997</v>
      </c>
      <c r="C42" s="9" t="str">
        <f t="shared" si="0"/>
        <v>Normal</v>
      </c>
    </row>
    <row r="43" spans="1:3" ht="16.25" customHeight="1" x14ac:dyDescent="0.35">
      <c r="A43" s="21" t="s">
        <v>289</v>
      </c>
      <c r="B43" s="9">
        <f>SUMIFS('Final Project Dataset'!$N:$N,'Final Project Dataset'!$D:$D,A43)</f>
        <v>6989.7699999999986</v>
      </c>
      <c r="C43" s="9" t="str">
        <f t="shared" si="0"/>
        <v>Normal</v>
      </c>
    </row>
    <row r="44" spans="1:3" ht="16.25" customHeight="1" x14ac:dyDescent="0.35">
      <c r="A44" s="21" t="s">
        <v>294</v>
      </c>
      <c r="B44" s="9">
        <f>SUMIFS('Final Project Dataset'!$N:$N,'Final Project Dataset'!$D:$D,A44)</f>
        <v>1149.93</v>
      </c>
      <c r="C44" s="9" t="str">
        <f t="shared" si="0"/>
        <v>Normal</v>
      </c>
    </row>
    <row r="45" spans="1:3" ht="16.25" customHeight="1" x14ac:dyDescent="0.35">
      <c r="A45" s="21" t="s">
        <v>297</v>
      </c>
      <c r="B45" s="9">
        <f>SUMIFS('Final Project Dataset'!$N:$N,'Final Project Dataset'!$D:$D,A45)</f>
        <v>6349.83</v>
      </c>
      <c r="C45" s="9" t="str">
        <f t="shared" si="0"/>
        <v>Normal</v>
      </c>
    </row>
    <row r="46" spans="1:3" ht="16.25" customHeight="1" x14ac:dyDescent="0.35">
      <c r="A46" s="21" t="s">
        <v>309</v>
      </c>
      <c r="B46" s="9">
        <f>SUMIFS('Final Project Dataset'!$N:$N,'Final Project Dataset'!$D:$D,A46)</f>
        <v>1749.92</v>
      </c>
      <c r="C46" s="9" t="str">
        <f t="shared" si="0"/>
        <v>Normal</v>
      </c>
    </row>
    <row r="47" spans="1:3" ht="16.25" customHeight="1" x14ac:dyDescent="0.35">
      <c r="A47" s="21" t="s">
        <v>315</v>
      </c>
      <c r="B47" s="9">
        <f>SUMIFS('Final Project Dataset'!$N:$N,'Final Project Dataset'!$D:$D,A47)</f>
        <v>4749.91</v>
      </c>
      <c r="C47" s="9" t="str">
        <f t="shared" si="0"/>
        <v>Normal</v>
      </c>
    </row>
    <row r="48" spans="1:3" ht="16.25" customHeight="1" x14ac:dyDescent="0.35">
      <c r="A48" s="21" t="s">
        <v>322</v>
      </c>
      <c r="B48" s="9">
        <f>SUMIFS('Final Project Dataset'!$N:$N,'Final Project Dataset'!$D:$D,A48)</f>
        <v>739.93000000000006</v>
      </c>
      <c r="C48" s="9" t="str">
        <f t="shared" si="0"/>
        <v>Normal</v>
      </c>
    </row>
    <row r="49" spans="1:3" ht="16.25" customHeight="1" x14ac:dyDescent="0.35">
      <c r="A49" s="21" t="s">
        <v>356</v>
      </c>
      <c r="B49" s="9">
        <f>SUMIFS('Final Project Dataset'!$N:$N,'Final Project Dataset'!$D:$D,A49)</f>
        <v>4829.8899999999994</v>
      </c>
      <c r="C49" s="9" t="str">
        <f t="shared" si="0"/>
        <v>Normal</v>
      </c>
    </row>
    <row r="50" spans="1:3" ht="16.25" customHeight="1" x14ac:dyDescent="0.35">
      <c r="A50" s="21" t="s">
        <v>367</v>
      </c>
      <c r="B50" s="9">
        <f>SUMIFS('Final Project Dataset'!$N:$N,'Final Project Dataset'!$D:$D,A50)</f>
        <v>179.97</v>
      </c>
      <c r="C50" s="9" t="str">
        <f t="shared" si="0"/>
        <v>Normal</v>
      </c>
    </row>
    <row r="51" spans="1:3" ht="16.25" customHeight="1" x14ac:dyDescent="0.35">
      <c r="A51" s="21" t="s">
        <v>388</v>
      </c>
      <c r="B51" s="9">
        <f>SUMIFS('Final Project Dataset'!$N:$N,'Final Project Dataset'!$D:$D,A51)</f>
        <v>1559.94</v>
      </c>
      <c r="C51" s="9" t="str">
        <f t="shared" si="0"/>
        <v>Normal</v>
      </c>
    </row>
    <row r="52" spans="1:3" ht="16.25" customHeight="1" x14ac:dyDescent="0.35">
      <c r="A52" s="21" t="s">
        <v>449</v>
      </c>
      <c r="B52" s="9">
        <f>SUMIFS('Final Project Dataset'!$N:$N,'Final Project Dataset'!$D:$D,A52)</f>
        <v>599.96</v>
      </c>
      <c r="C52" s="9" t="str">
        <f t="shared" si="0"/>
        <v>Normal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E511-34F5-4172-A406-DD171F4C75BF}">
  <dimension ref="A1:I19"/>
  <sheetViews>
    <sheetView zoomScale="82" workbookViewId="0">
      <selection activeCell="G24" sqref="G24"/>
    </sheetView>
  </sheetViews>
  <sheetFormatPr defaultRowHeight="14.5" x14ac:dyDescent="0.35"/>
  <cols>
    <col min="1" max="1" width="17.453125" bestFit="1" customWidth="1"/>
    <col min="2" max="2" width="12" bestFit="1" customWidth="1"/>
    <col min="3" max="3" width="13.453125" bestFit="1" customWidth="1"/>
    <col min="4" max="5" width="12" bestFit="1" customWidth="1"/>
    <col min="6" max="6" width="12.453125" bestFit="1" customWidth="1"/>
    <col min="7" max="7" width="12" bestFit="1" customWidth="1"/>
    <col min="8" max="9" width="12.08984375" bestFit="1" customWidth="1"/>
  </cols>
  <sheetData>
    <row r="1" spans="1:9" x14ac:dyDescent="0.35">
      <c r="A1" s="33" t="s">
        <v>124</v>
      </c>
      <c r="B1" s="33"/>
      <c r="C1" s="33"/>
      <c r="D1" s="33"/>
      <c r="E1" s="33"/>
      <c r="F1" s="33"/>
      <c r="G1" s="33"/>
      <c r="H1" s="33"/>
      <c r="I1" s="33"/>
    </row>
    <row r="2" spans="1:9" x14ac:dyDescent="0.35">
      <c r="A2" s="9" t="s">
        <v>99</v>
      </c>
      <c r="B2" s="9"/>
      <c r="C2" s="9"/>
      <c r="D2" s="9"/>
      <c r="E2" s="9"/>
      <c r="F2" s="9"/>
      <c r="G2" s="9"/>
      <c r="H2" s="9"/>
      <c r="I2" s="9"/>
    </row>
    <row r="3" spans="1:9" x14ac:dyDescent="0.35">
      <c r="A3" s="9"/>
      <c r="B3" s="9"/>
      <c r="C3" s="9"/>
      <c r="D3" s="9"/>
      <c r="E3" s="9"/>
      <c r="F3" s="9"/>
      <c r="G3" s="9"/>
      <c r="H3" s="9"/>
      <c r="I3" s="9"/>
    </row>
    <row r="4" spans="1:9" x14ac:dyDescent="0.35">
      <c r="A4" s="14" t="s">
        <v>100</v>
      </c>
      <c r="B4" s="14"/>
      <c r="C4" s="9"/>
      <c r="D4" s="9"/>
      <c r="E4" s="9"/>
      <c r="F4" s="9"/>
      <c r="G4" s="9"/>
      <c r="H4" s="9"/>
      <c r="I4" s="9"/>
    </row>
    <row r="5" spans="1:9" x14ac:dyDescent="0.35">
      <c r="A5" s="9" t="s">
        <v>101</v>
      </c>
      <c r="B5" s="9">
        <v>0.45808036093237464</v>
      </c>
      <c r="C5" s="9"/>
      <c r="D5" s="9"/>
      <c r="E5" s="9"/>
      <c r="F5" s="9"/>
      <c r="G5" s="9"/>
      <c r="H5" s="9"/>
      <c r="I5" s="9"/>
    </row>
    <row r="6" spans="1:9" x14ac:dyDescent="0.35">
      <c r="A6" s="9" t="s">
        <v>102</v>
      </c>
      <c r="B6" s="9">
        <v>0.20983761707193463</v>
      </c>
      <c r="C6" s="9"/>
      <c r="D6" s="9"/>
      <c r="E6" s="9"/>
      <c r="F6" s="9"/>
      <c r="G6" s="9"/>
      <c r="H6" s="9"/>
      <c r="I6" s="9"/>
    </row>
    <row r="7" spans="1:9" x14ac:dyDescent="0.35">
      <c r="A7" s="9" t="s">
        <v>103</v>
      </c>
      <c r="B7" s="9">
        <v>0.20665147843109566</v>
      </c>
      <c r="C7" s="9"/>
      <c r="D7" s="9"/>
      <c r="E7" s="9"/>
      <c r="F7" s="9"/>
      <c r="G7" s="9"/>
      <c r="H7" s="9"/>
      <c r="I7" s="9"/>
    </row>
    <row r="8" spans="1:9" x14ac:dyDescent="0.35">
      <c r="A8" s="9" t="s">
        <v>104</v>
      </c>
      <c r="B8" s="9">
        <v>1.1906792154826029</v>
      </c>
      <c r="C8" s="9"/>
      <c r="D8" s="9"/>
      <c r="E8" s="9"/>
      <c r="F8" s="9"/>
      <c r="G8" s="9"/>
      <c r="H8" s="9"/>
      <c r="I8" s="9"/>
    </row>
    <row r="9" spans="1:9" x14ac:dyDescent="0.35">
      <c r="A9" s="9" t="s">
        <v>105</v>
      </c>
      <c r="B9" s="9">
        <v>250</v>
      </c>
      <c r="C9" s="9"/>
      <c r="D9" s="9"/>
      <c r="E9" s="9"/>
      <c r="F9" s="9"/>
      <c r="G9" s="9"/>
      <c r="H9" s="9"/>
      <c r="I9" s="9"/>
    </row>
    <row r="10" spans="1:9" x14ac:dyDescent="0.35">
      <c r="A10" s="9"/>
      <c r="B10" s="9"/>
      <c r="C10" s="9"/>
      <c r="D10" s="9"/>
      <c r="E10" s="9"/>
      <c r="F10" s="9"/>
      <c r="G10" s="9"/>
      <c r="H10" s="9"/>
      <c r="I10" s="9"/>
    </row>
    <row r="11" spans="1:9" x14ac:dyDescent="0.35">
      <c r="A11" s="9" t="s">
        <v>106</v>
      </c>
      <c r="B11" s="9"/>
      <c r="C11" s="9"/>
      <c r="D11" s="9"/>
      <c r="E11" s="9"/>
      <c r="F11" s="9"/>
      <c r="G11" s="9"/>
      <c r="H11" s="9"/>
      <c r="I11" s="9"/>
    </row>
    <row r="12" spans="1:9" x14ac:dyDescent="0.35">
      <c r="A12" s="15"/>
      <c r="B12" s="15" t="s">
        <v>111</v>
      </c>
      <c r="C12" s="15" t="s">
        <v>112</v>
      </c>
      <c r="D12" s="15" t="s">
        <v>113</v>
      </c>
      <c r="E12" s="15" t="s">
        <v>114</v>
      </c>
      <c r="F12" s="15" t="s">
        <v>115</v>
      </c>
      <c r="G12" s="9"/>
      <c r="H12" s="9"/>
      <c r="I12" s="9"/>
    </row>
    <row r="13" spans="1:9" x14ac:dyDescent="0.35">
      <c r="A13" s="9" t="s">
        <v>107</v>
      </c>
      <c r="B13" s="9">
        <v>1</v>
      </c>
      <c r="C13" s="9">
        <v>93.370185442795901</v>
      </c>
      <c r="D13" s="9">
        <v>93.370185442795901</v>
      </c>
      <c r="E13" s="9">
        <v>65.85953742950754</v>
      </c>
      <c r="F13" s="9">
        <v>2.2586478953147397E-14</v>
      </c>
      <c r="G13" s="9"/>
      <c r="H13" s="9"/>
      <c r="I13" s="9"/>
    </row>
    <row r="14" spans="1:9" x14ac:dyDescent="0.35">
      <c r="A14" s="9" t="s">
        <v>108</v>
      </c>
      <c r="B14" s="9">
        <v>248</v>
      </c>
      <c r="C14" s="9">
        <v>351.59381455720211</v>
      </c>
      <c r="D14" s="9">
        <v>1.4177169941822665</v>
      </c>
      <c r="E14" s="9"/>
      <c r="F14" s="9"/>
      <c r="G14" s="9"/>
      <c r="H14" s="9"/>
      <c r="I14" s="9"/>
    </row>
    <row r="15" spans="1:9" x14ac:dyDescent="0.35">
      <c r="A15" s="9" t="s">
        <v>109</v>
      </c>
      <c r="B15" s="9">
        <v>249</v>
      </c>
      <c r="C15" s="9">
        <v>444.96399999999801</v>
      </c>
      <c r="D15" s="9"/>
      <c r="E15" s="9"/>
      <c r="F15" s="9"/>
      <c r="G15" s="9"/>
      <c r="H15" s="9"/>
      <c r="I15" s="9"/>
    </row>
    <row r="16" spans="1:9" x14ac:dyDescent="0.35">
      <c r="A16" s="9"/>
      <c r="B16" s="9"/>
      <c r="C16" s="9"/>
      <c r="D16" s="9"/>
      <c r="E16" s="9"/>
      <c r="F16" s="9"/>
      <c r="G16" s="9"/>
      <c r="H16" s="9"/>
      <c r="I16" s="9"/>
    </row>
    <row r="17" spans="1:9" x14ac:dyDescent="0.35">
      <c r="A17" s="15"/>
      <c r="B17" s="15" t="s">
        <v>116</v>
      </c>
      <c r="C17" s="15" t="s">
        <v>104</v>
      </c>
      <c r="D17" s="15" t="s">
        <v>117</v>
      </c>
      <c r="E17" s="15" t="s">
        <v>118</v>
      </c>
      <c r="F17" s="15" t="s">
        <v>119</v>
      </c>
      <c r="G17" s="15" t="s">
        <v>120</v>
      </c>
      <c r="H17" s="15" t="s">
        <v>121</v>
      </c>
      <c r="I17" s="15" t="s">
        <v>122</v>
      </c>
    </row>
    <row r="18" spans="1:9" x14ac:dyDescent="0.35">
      <c r="A18" s="9" t="s">
        <v>110</v>
      </c>
      <c r="B18" s="9">
        <v>2.4682560460750795</v>
      </c>
      <c r="C18" s="9">
        <v>0.10079722671468955</v>
      </c>
      <c r="D18" s="9">
        <v>24.487340837874179</v>
      </c>
      <c r="E18" s="9">
        <v>3.9188263388930073E-68</v>
      </c>
      <c r="F18" s="9">
        <v>2.2697282823847966</v>
      </c>
      <c r="G18" s="9">
        <v>2.6667838097653624</v>
      </c>
      <c r="H18" s="9">
        <v>2.2697282823847966</v>
      </c>
      <c r="I18" s="9">
        <v>2.6667838097653624</v>
      </c>
    </row>
    <row r="19" spans="1:9" x14ac:dyDescent="0.35">
      <c r="A19" s="9" t="s">
        <v>123</v>
      </c>
      <c r="B19" s="9">
        <v>5.9310844060989391E-4</v>
      </c>
      <c r="C19" s="9">
        <v>7.3084413572340146E-5</v>
      </c>
      <c r="D19" s="9">
        <v>8.115388926570855</v>
      </c>
      <c r="E19" s="9">
        <v>2.2586478953135327E-14</v>
      </c>
      <c r="F19" s="9">
        <v>4.4916315897827166E-4</v>
      </c>
      <c r="G19" s="9">
        <v>7.3705372224151615E-4</v>
      </c>
      <c r="H19" s="9">
        <v>4.4916315897827166E-4</v>
      </c>
      <c r="I19" s="9">
        <v>7.3705372224151615E-4</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Dashboard</vt:lpstr>
      <vt:lpstr>Final Project Dataset</vt:lpstr>
      <vt:lpstr>pivot table</vt:lpstr>
      <vt:lpstr>High value customer</vt:lpstr>
      <vt:lpstr>LINIER REGRETIONS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Ajay SOSA</cp:lastModifiedBy>
  <dcterms:modified xsi:type="dcterms:W3CDTF">2026-02-25T09:05:49Z</dcterms:modified>
</cp:coreProperties>
</file>