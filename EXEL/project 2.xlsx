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AI ML AND DATA SCIENCE\EXEL\"/>
    </mc:Choice>
  </mc:AlternateContent>
  <xr:revisionPtr revIDLastSave="0" documentId="13_ncr:1_{FE050195-F139-4301-B0A4-9B0A4E31AA60}" xr6:coauthVersionLast="47" xr6:coauthVersionMax="47" xr10:uidLastSave="{00000000-0000-0000-0000-000000000000}"/>
  <bookViews>
    <workbookView xWindow="-110" yWindow="-110" windowWidth="19420" windowHeight="10300" xr2:uid="{00000000-000D-0000-FFFF-FFFF00000000}"/>
  </bookViews>
  <sheets>
    <sheet name="Project Instructions" sheetId="1" r:id="rId1"/>
    <sheet name="pivot table" sheetId="15" r:id="rId2"/>
    <sheet name="Dataset" sheetId="2" r:id="rId3"/>
    <sheet name="Scenario Summary" sheetId="8" r:id="rId4"/>
    <sheet name="dash board" sheetId="11" r:id="rId5"/>
    <sheet name="discriptiv stetestic" sheetId="14" r:id="rId6"/>
  </sheets>
  <definedNames>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5" i="2" l="1"/>
  <c r="P34" i="2"/>
  <c r="P33" i="2"/>
  <c r="P32" i="2"/>
  <c r="P31" i="2"/>
  <c r="P30" i="2"/>
  <c r="P29" i="2"/>
  <c r="P28" i="2"/>
  <c r="P27" i="2"/>
  <c r="P26" i="2"/>
  <c r="P25" i="2"/>
  <c r="P24" i="2"/>
  <c r="P23"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 i="2"/>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 i="2"/>
  <c r="S23" i="2"/>
  <c r="N23" i="2"/>
  <c r="N18" i="2"/>
  <c r="S25" i="2" l="1"/>
  <c r="P10" i="2" s="1"/>
</calcChain>
</file>

<file path=xl/sharedStrings.xml><?xml version="1.0" encoding="utf-8"?>
<sst xmlns="http://schemas.openxmlformats.org/spreadsheetml/2006/main" count="1002" uniqueCount="359">
  <si>
    <t>PR. 2 Analyzer</t>
  </si>
  <si>
    <t>Customer_ID</t>
  </si>
  <si>
    <t>Customer_Name</t>
  </si>
  <si>
    <t>Region</t>
  </si>
  <si>
    <t>Product_Category</t>
  </si>
  <si>
    <t>Sales</t>
  </si>
  <si>
    <t>Quantity</t>
  </si>
  <si>
    <t>Discount</t>
  </si>
  <si>
    <t>Order_Date</t>
  </si>
  <si>
    <t>Profit</t>
  </si>
  <si>
    <t>James Davis</t>
  </si>
  <si>
    <t>West</t>
  </si>
  <si>
    <t>Books</t>
  </si>
  <si>
    <t>Robert Anderson</t>
  </si>
  <si>
    <t>Clothing</t>
  </si>
  <si>
    <t>James Taylor</t>
  </si>
  <si>
    <t>East</t>
  </si>
  <si>
    <t>South</t>
  </si>
  <si>
    <t>Electronics</t>
  </si>
  <si>
    <t>James Wilson</t>
  </si>
  <si>
    <t>North</t>
  </si>
  <si>
    <t>Michael Anderson</t>
  </si>
  <si>
    <t>Furniture</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</si>
  <si>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</si>
  <si>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</si>
  <si>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</si>
  <si>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</si>
  <si>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</si>
  <si>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</si>
  <si>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</si>
  <si>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</si>
  <si>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</si>
  <si>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</si>
  <si>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</si>
  <si>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</si>
  <si>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</si>
  <si>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</si>
  <si>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</si>
  <si>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</si>
  <si>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</si>
  <si>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</si>
  <si>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</si>
  <si>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</si>
  <si>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</si>
  <si>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</si>
  <si>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</si>
  <si>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</si>
  <si>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Topics:</t>
  </si>
  <si>
    <t>- Conditional Formatting</t>
  </si>
  <si>
    <t>- WHAT IF Analysis</t>
  </si>
  <si>
    <t>- Linear Regression (Using Data Analysis Toolpak)</t>
  </si>
  <si>
    <t>- Data Analysis Feature (Descriptive Stats, Regression, Histogram)</t>
  </si>
  <si>
    <t>- Data Storytelling</t>
  </si>
  <si>
    <t>- Add Symbols or Arrows in Custom Formatting</t>
  </si>
  <si>
    <t>- Create Timestamp</t>
  </si>
  <si>
    <t>- Find High-Value Customers using Groupby(), index(), and match() combination</t>
  </si>
  <si>
    <t>- Advanced Descriptive Analytics</t>
  </si>
  <si>
    <t>- Pivot Table with Dashboard</t>
  </si>
  <si>
    <t>- Creating bar charts</t>
  </si>
  <si>
    <t>- Creating line charts</t>
  </si>
  <si>
    <t>- Creating pie charts</t>
  </si>
  <si>
    <t>Main Tasks:</t>
  </si>
  <si>
    <t>1. Apply conditional formatting to highlight top 10 customers based on total purchase.</t>
  </si>
  <si>
    <t>2. Perform WHAT IF Analysis to see impact of changing discount on total profit.</t>
  </si>
  <si>
    <t>3. Use Data Analysis Toolpak to run Linear Regression (Profit vs Sales).</t>
  </si>
  <si>
    <t>4. Use 'Descriptive Statistics' from Analysis Toolpak on the dataset.</t>
  </si>
  <si>
    <t>5. Add up/down arrows on monthly sales growth.</t>
  </si>
  <si>
    <t>6. Create a timestamp column using NOW().</t>
  </si>
  <si>
    <t>7. Identify high-value customers using index(), match(), and filters.</t>
  </si>
  <si>
    <t>8. Create Pivot Table to analyze total sales by region and product.</t>
  </si>
  <si>
    <t>9. Create bar, line, and pie charts to visualize KPIs.</t>
  </si>
  <si>
    <t>10. Summarize insights using a dashboard.</t>
  </si>
  <si>
    <t>Deliverable:</t>
  </si>
  <si>
    <t>Complete the given worksheet by applying the required formulas in respective sheets.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</si>
  <si>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</si>
  <si>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</si>
  <si>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</si>
  <si>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</si>
  <si>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</si>
  <si>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</si>
  <si>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</si>
  <si>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</si>
  <si>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</si>
  <si>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</si>
  <si>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</si>
  <si>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</si>
  <si>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</si>
  <si>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</si>
  <si>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</si>
  <si>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</si>
  <si>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</si>
  <si>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</si>
  <si>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</si>
  <si>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</si>
  <si>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</si>
  <si>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</si>
  <si>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</si>
  <si>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</si>
  <si>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</si>
  <si>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perform linier regresion using data analysis tool pack</t>
  </si>
  <si>
    <t xml:space="preserve">timestamp </t>
  </si>
  <si>
    <t>High value person</t>
  </si>
  <si>
    <t>Row Labels</t>
  </si>
  <si>
    <t>Grand Total</t>
  </si>
  <si>
    <t>Sum of Sales</t>
  </si>
  <si>
    <t>Final Profit</t>
  </si>
  <si>
    <t>Total Profit</t>
  </si>
  <si>
    <t>WHAT IF ( Scenario Manager )</t>
  </si>
  <si>
    <t>$L$3</t>
  </si>
  <si>
    <t>$L$4</t>
  </si>
  <si>
    <t>dis_1</t>
  </si>
  <si>
    <t>Created by Meet on 12-02-2026</t>
  </si>
  <si>
    <t>dis_2</t>
  </si>
  <si>
    <t>dis_3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</si>
  <si>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</si>
  <si>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</si>
  <si>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</si>
  <si>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</si>
  <si>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</si>
  <si>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</si>
  <si>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</si>
  <si>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Fnal profit</t>
  </si>
  <si>
    <t>WHAT IF ( Data Table )</t>
  </si>
  <si>
    <t>Sum of Profit</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</si>
  <si>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</si>
  <si>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</si>
  <si>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</si>
  <si>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</si>
  <si>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</si>
  <si>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</si>
  <si>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</si>
  <si>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</si>
  <si>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</si>
  <si>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</si>
  <si>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</si>
  <si>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</si>
  <si>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</si>
  <si>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</si>
  <si>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</si>
  <si>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</si>
  <si>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</si>
  <si>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</si>
  <si>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</si>
  <si>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</si>
  <si>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</si>
  <si>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</si>
  <si>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</si>
  <si>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</si>
  <si>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</si>
  <si>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</si>
  <si>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</si>
  <si>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</si>
  <si>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</si>
  <si>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</si>
  <si>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</si>
  <si>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</si>
  <si>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</si>
  <si>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</si>
  <si>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</si>
  <si>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</si>
  <si>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</si>
  <si>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</si>
  <si>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</si>
  <si>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</si>
  <si>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</si>
  <si>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</si>
  <si>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</si>
  <si>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</si>
  <si>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</si>
  <si>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</si>
  <si>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</si>
  <si>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</si>
  <si>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</si>
  <si>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</si>
  <si>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</si>
  <si>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</si>
  <si>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</si>
  <si>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</si>
  <si>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</si>
  <si>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</si>
  <si>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</si>
  <si>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</si>
  <si>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</si>
  <si>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</si>
  <si>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</si>
  <si>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</si>
  <si>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</si>
  <si>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</si>
  <si>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</si>
  <si>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</si>
  <si>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</si>
  <si>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</si>
  <si>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</si>
  <si>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</si>
  <si>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</si>
  <si>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</si>
  <si>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</si>
  <si>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</si>
  <si>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</si>
  <si>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</si>
  <si>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</si>
  <si>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</si>
  <si>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</si>
  <si>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</si>
  <si>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</si>
  <si>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</si>
  <si>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</si>
  <si>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</si>
  <si>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</si>
  <si>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</si>
  <si>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</si>
  <si>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</si>
  <si>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</si>
  <si>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</si>
  <si>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</si>
  <si>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</si>
  <si>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</si>
  <si>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</si>
  <si>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</si>
  <si>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</si>
  <si>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</si>
  <si>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</si>
  <si>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</si>
  <si>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</si>
  <si>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</si>
  <si>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</si>
  <si>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</si>
  <si>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</si>
  <si>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</si>
  <si>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</si>
  <si>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</si>
  <si>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</si>
  <si>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</si>
  <si>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</si>
  <si>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</si>
  <si>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</si>
  <si>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</si>
  <si>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</si>
  <si>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</si>
  <si>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</si>
  <si>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</si>
  <si>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</si>
  <si>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</si>
  <si>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</si>
  <si>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</si>
  <si>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</si>
  <si>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</si>
  <si>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</si>
  <si>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</si>
  <si>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</si>
  <si>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</si>
  <si>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</si>
  <si>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</si>
  <si>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</si>
  <si>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</si>
  <si>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</si>
  <si>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</si>
  <si>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</si>
  <si>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</si>
  <si>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</si>
  <si>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</si>
  <si>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</si>
  <si>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</si>
  <si>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</si>
  <si>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</si>
  <si>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</si>
  <si>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</si>
  <si>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</si>
  <si>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</si>
  <si>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</si>
  <si>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</si>
  <si>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</si>
  <si>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</si>
  <si>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</si>
  <si>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</si>
  <si>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</si>
  <si>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</si>
  <si>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</si>
  <si>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</si>
  <si>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</si>
  <si>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</si>
  <si>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</si>
  <si>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</si>
  <si>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</si>
  <si>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</si>
  <si>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</si>
  <si>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</si>
  <si>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</si>
  <si>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</si>
  <si>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</si>
  <si>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</si>
  <si>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</si>
  <si>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</si>
  <si>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</si>
  <si>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</si>
  <si>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</si>
  <si>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</si>
  <si>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</si>
  <si>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</si>
  <si>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</si>
  <si>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</si>
  <si>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</si>
  <si>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</si>
  <si>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</si>
  <si>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</si>
  <si>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</si>
  <si>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</si>
  <si>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</si>
  <si>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</si>
  <si>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</si>
  <si>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</si>
  <si>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</si>
  <si>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</si>
  <si>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</si>
  <si>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</si>
  <si>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</si>
  <si>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</si>
  <si>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</si>
  <si>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</si>
  <si>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</si>
  <si>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</si>
  <si>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</si>
  <si>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</si>
  <si>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</si>
  <si>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Total Purchase</t>
  </si>
  <si>
    <t>Column1</t>
  </si>
  <si>
    <t>Column2</t>
  </si>
  <si>
    <t>Column3</t>
  </si>
  <si>
    <t>Column4</t>
  </si>
  <si>
    <t>Column6</t>
  </si>
  <si>
    <t>Mean</t>
  </si>
  <si>
    <t>Median</t>
  </si>
  <si>
    <t>Mode</t>
  </si>
  <si>
    <t>Standard Deviation</t>
  </si>
  <si>
    <t>Sample Variance</t>
  </si>
  <si>
    <t>Kurtosis</t>
  </si>
  <si>
    <t>Skewness</t>
  </si>
  <si>
    <t>Range</t>
  </si>
  <si>
    <t>Minimum</t>
  </si>
  <si>
    <t>Maximum</t>
  </si>
  <si>
    <t>Sum</t>
  </si>
  <si>
    <t>Count</t>
  </si>
  <si>
    <t>Confidence Level(95.0%)</t>
  </si>
  <si>
    <t>MONTH</t>
  </si>
  <si>
    <t>Total Month Growth</t>
  </si>
  <si>
    <t>Apr-2024</t>
  </si>
  <si>
    <t>Apr-2025</t>
  </si>
  <si>
    <t>Mar-2025</t>
  </si>
  <si>
    <t>Feb-2025</t>
  </si>
  <si>
    <t>Jan-2025</t>
  </si>
  <si>
    <t>Dec-2024</t>
  </si>
  <si>
    <t>Nov-2024</t>
  </si>
  <si>
    <t>May-2024</t>
  </si>
  <si>
    <t>Oct-2024</t>
  </si>
  <si>
    <t>Sep-2024</t>
  </si>
  <si>
    <t>Aug-2024</t>
  </si>
  <si>
    <t>Jul-2024</t>
  </si>
  <si>
    <t>Jun-2024</t>
  </si>
  <si>
    <t>Sum of Total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</si>
</sst>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8">
    <font>
      <sz val="11"/>
      <color theme="1"/>
      <name val="Calibri"/>
      <scheme val="minor"/>
    </font>
    <font>
      <sz val="11"/>
      <color theme="1"/>
      <name val="Calibri"/>
      <family val="2"/>
      <scheme val="minor"/>
    </font>
    <font>
      <sz val="11"/>
      <color theme="1"/>
      <name val="Calibri"/>
      <family val="2"/>
      <scheme val="minor"/>
    </font>
    <font>
      <sz val="11"/>
      <color theme="1"/>
      <name val="Calibri"/>
    </font>
    <font>
      <b/>
      <sz val="11"/>
      <color theme="1"/>
      <name val="Calibri"/>
      <scheme val="minor"/>
    </font>
    <font>
      <sz val="11"/>
      <color theme="1"/>
      <name val="Calibri"/>
      <scheme val="minor"/>
    </font>
    <font>
      <b/>
      <sz val="11"/>
      <color theme="1"/>
      <name val="Calibri"/>
      <family val="2"/>
      <scheme val="minor"/>
    </font>
    <font>
      <b/>
      <sz val="11"/>
      <color rgb="FF38761D"/>
      <name val="Calibri"/>
      <family val="2"/>
      <scheme val="minor"/>
    </font>
    <font>
      <sz val="11"/>
      <color rgb="FF38761D"/>
      <name val="Calibri"/>
      <family val="2"/>
      <scheme val="minor"/>
    </font>
    <font>
      <i/>
      <sz val="11"/>
      <color theme="1"/>
      <name val="Calibri"/>
      <family val="2"/>
      <scheme val="minor"/>
    </font>
    <font>
      <sz val="1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4"/>
      <color theme="1"/>
      <name val="Calibri"/>
      <family val="2"/>
      <scheme val="minor"/>
    </font>
    <font>
      <sz val="8"/>
      <name val="Calibri"/>
      <scheme val="minor"/>
    </font>
  </fonts>
  <fills count="10">
    <fill>
      <patternFill patternType="none"/>
    </fill>
    <fill>
      <patternFill patternType="gray125"/>
    </fill>
    <fill>
      <patternFill patternType="solid">
        <fgColor rgb="FFFFFF00"/>
        <bgColor indexed="64"/>
      </patternFill>
    </fill>
    <fill>
      <patternFill patternType="solid">
        <fgColor indexed="22"/>
        <bgColor indexed="24"/>
      </patternFill>
    </fill>
    <fill>
      <patternFill patternType="solid">
        <fgColor indexed="22"/>
        <bgColor indexed="64"/>
      </patternFill>
    </fill>
    <fill>
      <patternFill patternType="solid">
        <fgColor theme="8" tint="0.39997558519241921"/>
        <bgColor indexed="24"/>
      </patternFill>
    </fill>
    <fill>
      <patternFill patternType="solid">
        <fgColor theme="8" tint="0.39997558519241921"/>
        <bgColor indexed="64"/>
      </patternFill>
    </fill>
    <fill>
      <patternFill patternType="solid">
        <fgColor theme="8"/>
        <bgColor indexed="64"/>
      </patternFill>
    </fill>
    <fill>
      <patternFill patternType="solid">
        <fgColor theme="0"/>
        <bgColor indexed="64"/>
      </patternFill>
    </fill>
    <fill>
      <patternFill patternType="solid">
        <fgColor theme="2" tint="-0.249977111117893"/>
        <bgColor indexed="64"/>
      </patternFill>
    </fill>
  </fills>
  <borders count="15">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66">
    <xf numFmtId="0" fontId="0" fillId="0" borderId="0" xfId="0"/>
    <xf numFmtId="0" fontId="3" fillId="0" borderId="0" xfId="0" applyFont="1"/>
    <xf numFmtId="0" fontId="4" fillId="0" borderId="0" xfId="0" applyFont="1"/>
    <xf numFmtId="0" fontId="5" fillId="0" borderId="0" xfId="0" applyFont="1"/>
    <xf numFmtId="164" fontId="5" fillId="0" borderId="0" xfId="0" applyNumberFormat="1" applyFont="1"/>
    <xf numFmtId="0" fontId="0" fillId="0" borderId="1" xfId="0" applyBorder="1"/>
    <xf numFmtId="0" fontId="9" fillId="0" borderId="2" xfId="0" applyFont="1" applyBorder="1" applyAlignment="1">
      <alignment horizontal="center"/>
    </xf>
    <xf numFmtId="0" fontId="9" fillId="0" borderId="2" xfId="0" applyFont="1" applyBorder="1" applyAlignment="1">
      <alignment horizontal="centerContinuous"/>
    </xf>
    <xf numFmtId="0" fontId="0" fillId="0" borderId="3" xfId="0" applyBorder="1"/>
    <xf numFmtId="0" fontId="0" fillId="0" borderId="6" xfId="0" applyBorder="1"/>
    <xf numFmtId="0" fontId="9" fillId="0" borderId="7" xfId="0" applyFont="1" applyBorder="1" applyAlignment="1">
      <alignment horizontal="centerContinuous"/>
    </xf>
    <xf numFmtId="0" fontId="0" fillId="0" borderId="8" xfId="0" applyBorder="1"/>
    <xf numFmtId="0" fontId="9" fillId="0" borderId="7" xfId="0" applyFont="1" applyBorder="1" applyAlignment="1">
      <alignment horizontal="center"/>
    </xf>
    <xf numFmtId="0" fontId="0" fillId="0" borderId="5" xfId="0" applyBorder="1"/>
    <xf numFmtId="0" fontId="0" fillId="0" borderId="9" xfId="0" applyBorder="1"/>
    <xf numFmtId="0" fontId="9" fillId="0" borderId="10" xfId="0" applyFont="1" applyBorder="1" applyAlignment="1">
      <alignment horizontal="center"/>
    </xf>
    <xf numFmtId="0" fontId="0" fillId="0" borderId="11" xfId="0" applyBorder="1"/>
    <xf numFmtId="22" fontId="0" fillId="0" borderId="4" xfId="0" applyNumberFormat="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1" fontId="0" fillId="0" borderId="0" xfId="0" applyNumberFormat="1"/>
    <xf numFmtId="0" fontId="0" fillId="0" borderId="4" xfId="0" applyBorder="1"/>
    <xf numFmtId="1" fontId="0" fillId="0" borderId="4" xfId="0" applyNumberFormat="1" applyBorder="1"/>
    <xf numFmtId="2" fontId="0" fillId="0" borderId="4" xfId="0" applyNumberFormat="1" applyBorder="1"/>
    <xf numFmtId="9" fontId="0" fillId="0" borderId="4" xfId="0" applyNumberFormat="1" applyBorder="1"/>
    <xf numFmtId="0" fontId="1" fillId="0" borderId="4" xfId="0" applyFont="1" applyBorder="1"/>
    <xf numFmtId="9" fontId="1" fillId="0" borderId="4" xfId="0" applyNumberFormat="1" applyFont="1" applyBorder="1"/>
    <xf numFmtId="0" fontId="16" fillId="0" borderId="4" xfId="0" applyFont="1" applyBorder="1" applyAlignment="1">
      <alignment horizontal="center" vertical="center"/>
    </xf>
    <xf numFmtId="9" fontId="0" fillId="0" borderId="4" xfId="1" applyFont="1" applyBorder="1"/>
    <xf numFmtId="0" fontId="4" fillId="0" borderId="0" xfId="0" applyFont="1" applyAlignment="1">
      <alignment horizontal="center"/>
    </xf>
    <xf numFmtId="0" fontId="0" fillId="0" borderId="0" xfId="0" applyAlignment="1">
      <alignment horizontal="center"/>
    </xf>
    <xf numFmtId="0" fontId="6" fillId="2" borderId="4" xfId="0" applyFont="1" applyFill="1" applyBorder="1" applyAlignment="1">
      <alignment horizontal="center" vertical="center"/>
    </xf>
    <xf numFmtId="0" fontId="6" fillId="0" borderId="4" xfId="0" applyFont="1" applyBorder="1"/>
    <xf numFmtId="0" fontId="2" fillId="0" borderId="4" xfId="0" applyFont="1" applyBorder="1"/>
    <xf numFmtId="0" fontId="7" fillId="0" borderId="4" xfId="0" applyFont="1" applyBorder="1"/>
    <xf numFmtId="0" fontId="8" fillId="0" borderId="4" xfId="0" applyFont="1" applyBorder="1"/>
    <xf numFmtId="0" fontId="10" fillId="0" borderId="4" xfId="0" applyFont="1" applyBorder="1"/>
    <xf numFmtId="0" fontId="0" fillId="0" borderId="4" xfId="0" applyBorder="1" applyAlignment="1">
      <alignment horizontal="center"/>
    </xf>
    <xf numFmtId="0" fontId="11" fillId="5" borderId="4" xfId="0" applyFont="1" applyFill="1" applyBorder="1" applyAlignment="1">
      <alignment horizontal="left"/>
    </xf>
    <xf numFmtId="0" fontId="14" fillId="5" borderId="4" xfId="0" applyFont="1" applyFill="1" applyBorder="1" applyAlignment="1">
      <alignment horizontal="right"/>
    </xf>
    <xf numFmtId="0" fontId="12" fillId="3" borderId="4" xfId="0" applyFont="1" applyFill="1" applyBorder="1" applyAlignment="1">
      <alignment horizontal="left"/>
    </xf>
    <xf numFmtId="0" fontId="15" fillId="0" borderId="4" xfId="0" applyFont="1" applyBorder="1" applyAlignment="1">
      <alignment vertical="top" wrapText="1"/>
    </xf>
    <xf numFmtId="0" fontId="13" fillId="3" borderId="4" xfId="0" applyFont="1" applyFill="1" applyBorder="1" applyAlignment="1">
      <alignment horizontal="left"/>
    </xf>
    <xf numFmtId="9" fontId="0" fillId="4" borderId="4" xfId="0" applyNumberFormat="1" applyFill="1" applyBorder="1"/>
    <xf numFmtId="0" fontId="6" fillId="6" borderId="4" xfId="0" applyFont="1" applyFill="1" applyBorder="1" applyAlignment="1">
      <alignment horizontal="center"/>
    </xf>
    <xf numFmtId="0" fontId="4" fillId="6" borderId="4" xfId="0" applyFont="1" applyFill="1" applyBorder="1" applyAlignment="1">
      <alignment horizontal="center"/>
    </xf>
    <xf numFmtId="0" fontId="0" fillId="0" borderId="4" xfId="0" applyFill="1" applyBorder="1" applyAlignment="1">
      <alignment horizontal="center" vertical="center"/>
    </xf>
    <xf numFmtId="0" fontId="9" fillId="7" borderId="4" xfId="0" applyFont="1" applyFill="1" applyBorder="1" applyAlignment="1">
      <alignment horizontal="center"/>
    </xf>
    <xf numFmtId="0" fontId="0" fillId="0" borderId="0" xfId="0" applyNumberFormat="1"/>
    <xf numFmtId="0" fontId="0" fillId="8" borderId="0" xfId="0" applyFill="1"/>
    <xf numFmtId="0" fontId="0" fillId="9" borderId="0" xfId="0" applyFill="1"/>
    <xf numFmtId="0" fontId="6" fillId="6" borderId="6" xfId="0" applyFont="1" applyFill="1" applyBorder="1" applyAlignment="1">
      <alignment horizontal="center"/>
    </xf>
    <xf numFmtId="0" fontId="6" fillId="6" borderId="0" xfId="0" applyFont="1" applyFill="1" applyAlignment="1">
      <alignment horizontal="center"/>
    </xf>
    <xf numFmtId="0" fontId="6" fillId="6" borderId="9" xfId="0" applyFont="1" applyFill="1" applyBorder="1" applyAlignment="1">
      <alignment horizontal="center"/>
    </xf>
    <xf numFmtId="0" fontId="6" fillId="6" borderId="4" xfId="0" applyFont="1" applyFill="1" applyBorder="1" applyAlignment="1">
      <alignment horizontal="center"/>
    </xf>
    <xf numFmtId="0" fontId="4" fillId="6" borderId="4" xfId="0" applyFont="1" applyFill="1" applyBorder="1" applyAlignment="1">
      <alignment horizontal="center"/>
    </xf>
    <xf numFmtId="9" fontId="16" fillId="0" borderId="4" xfId="0" applyNumberFormat="1" applyFont="1" applyBorder="1" applyAlignment="1">
      <alignment horizontal="center" vertical="center"/>
    </xf>
    <xf numFmtId="9" fontId="1" fillId="6" borderId="4" xfId="0" applyNumberFormat="1" applyFont="1" applyFill="1" applyBorder="1" applyAlignment="1">
      <alignment horizontal="center"/>
    </xf>
    <xf numFmtId="9" fontId="0" fillId="6" borderId="4" xfId="0" applyNumberForma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9" fontId="0" fillId="0" borderId="12" xfId="0" applyNumberFormat="1" applyBorder="1" applyAlignment="1">
      <alignment horizontal="center"/>
    </xf>
    <xf numFmtId="9" fontId="0" fillId="0" borderId="13" xfId="0" applyNumberFormat="1" applyBorder="1" applyAlignment="1">
      <alignment horizontal="center"/>
    </xf>
    <xf numFmtId="9" fontId="0" fillId="0" borderId="14" xfId="0" applyNumberFormat="1" applyBorder="1" applyAlignment="1">
      <alignment horizontal="center"/>
    </xf>
  </cellXfs>
  <cellStyles count="2">
    <cellStyle name="Normal" xfId="0" builtinId="0"/>
    <cellStyle name="Percent" xfId="1" builtinId="5"/>
  </cellStyles>
  <dxfs count="3">
    <dxf>
      <fill>
        <patternFill>
          <bgColor theme="9" tint="-0.24994659260841701"/>
        </patternFill>
      </fill>
    </dxf>
    <dxf>
      <font>
        <b/>
        <color theme="1"/>
      </font>
      <border>
        <bottom style="thin">
          <color theme="5"/>
        </bottom>
        <vertical/>
        <horizontal/>
      </border>
    </dxf>
    <dxf>
      <fill>
        <gradientFill degree="270">
          <stop position="0">
            <color theme="1"/>
          </stop>
          <stop position="1">
            <color theme="4"/>
          </stop>
        </gradientFill>
      </fill>
    </dxf>
  </dxfs>
  <tableStyles count="3" defaultTableStyle="TableStyleMedium2" defaultPivotStyle="PivotStyleLight16">
    <tableStyle name="Slicer Style 1" pivot="0" table="0" count="1" xr9:uid="{10C27E73-5BCD-45C8-87ED-5713A8988D40}">
      <tableStyleElement type="wholeTable" dxfId="2"/>
    </tableStyle>
    <tableStyle name="Slicer Style 2" pivot="0" table="0" count="0" xr9:uid="{192405B5-03CD-4D0D-9D9E-9C0393A68060}"/>
    <tableStyle name="SlicerStyleDark2 2" pivot="0" table="0" count="9" xr9:uid="{7C307C80-B43E-482D-95CC-A7E12E2F7033}">
      <tableStyleElement type="headerRow" dxfId="1"/>
    </tableStyle>
  </tableStyles>
  <colors>
    <mruColors>
      <color rgb="FF00FFFF"/>
      <color rgb="FF1111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table'!$A$12:$A$17</c:f>
              <c:strCache>
                <c:ptCount val="5"/>
                <c:pt idx="0">
                  <c:v>Central</c:v>
                </c:pt>
                <c:pt idx="1">
                  <c:v>East</c:v>
                </c:pt>
                <c:pt idx="2">
                  <c:v>North</c:v>
                </c:pt>
                <c:pt idx="3">
                  <c:v>South</c:v>
                </c:pt>
                <c:pt idx="4">
                  <c:v>West</c:v>
                </c:pt>
              </c:strCache>
            </c:strRef>
          </c:cat>
          <c:val>
            <c:numRef>
              <c:f>'pivot table'!$B$12:$B$17</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F303-4D76-85DB-CF3BCDCE9CA1}"/>
            </c:ext>
          </c:extLst>
        </c:ser>
        <c:dLbls>
          <c:showLegendKey val="0"/>
          <c:showVal val="0"/>
          <c:showCatName val="0"/>
          <c:showSerName val="0"/>
          <c:showPercent val="0"/>
          <c:showBubbleSize val="0"/>
        </c:dLbls>
        <c:gapWidth val="150"/>
        <c:shape val="box"/>
        <c:axId val="508911824"/>
        <c:axId val="508912784"/>
        <c:axId val="0"/>
      </c:bar3DChart>
      <c:catAx>
        <c:axId val="50891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912784"/>
        <c:crosses val="autoZero"/>
        <c:auto val="1"/>
        <c:lblAlgn val="ctr"/>
        <c:lblOffset val="100"/>
        <c:noMultiLvlLbl val="0"/>
      </c:catAx>
      <c:valAx>
        <c:axId val="5089127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91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3"/>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51748898233146"/>
          <c:y val="0.14474665699137451"/>
          <c:w val="0.58742498411960142"/>
          <c:h val="0.73763501108563434"/>
        </c:manualLayout>
      </c:layout>
      <c:barChart>
        <c:barDir val="col"/>
        <c:grouping val="clustered"/>
        <c:varyColors val="0"/>
        <c:ser>
          <c:idx val="0"/>
          <c:order val="0"/>
          <c:tx>
            <c:strRef>
              <c:f>'pivot table'!$M$20</c:f>
              <c:strCache>
                <c:ptCount val="1"/>
                <c:pt idx="0">
                  <c:v>Sum of Total Purchase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table'!$M$21</c:f>
              <c:strCache>
                <c:ptCount val="1"/>
                <c:pt idx="0">
                  <c:v>Total</c:v>
                </c:pt>
              </c:strCache>
            </c:strRef>
          </c:cat>
          <c:val>
            <c:numRef>
              <c:f>'pivot table'!$M$21</c:f>
              <c:numCache>
                <c:formatCode>General</c:formatCode>
                <c:ptCount val="1"/>
                <c:pt idx="0">
                  <c:v>195217.75999999992</c:v>
                </c:pt>
              </c:numCache>
            </c:numRef>
          </c:val>
          <c:extLst>
            <c:ext xmlns:c16="http://schemas.microsoft.com/office/drawing/2014/chart" uri="{C3380CC4-5D6E-409C-BE32-E72D297353CC}">
              <c16:uniqueId val="{00000000-65D4-40C6-B683-65AB3F4101E3}"/>
            </c:ext>
          </c:extLst>
        </c:ser>
        <c:ser>
          <c:idx val="1"/>
          <c:order val="1"/>
          <c:tx>
            <c:strRef>
              <c:f>'pivot table'!$N$20</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table'!$M$21</c:f>
              <c:strCache>
                <c:ptCount val="1"/>
                <c:pt idx="0">
                  <c:v>Total</c:v>
                </c:pt>
              </c:strCache>
            </c:strRef>
          </c:cat>
          <c:val>
            <c:numRef>
              <c:f>'pivot table'!$N$21</c:f>
              <c:numCache>
                <c:formatCode>General</c:formatCode>
                <c:ptCount val="1"/>
                <c:pt idx="0">
                  <c:v>68287.010000000009</c:v>
                </c:pt>
              </c:numCache>
            </c:numRef>
          </c:val>
          <c:extLst>
            <c:ext xmlns:c16="http://schemas.microsoft.com/office/drawing/2014/chart" uri="{C3380CC4-5D6E-409C-BE32-E72D297353CC}">
              <c16:uniqueId val="{00000001-65D4-40C6-B683-65AB3F4101E3}"/>
            </c:ext>
          </c:extLst>
        </c:ser>
        <c:dLbls>
          <c:showLegendKey val="0"/>
          <c:showVal val="0"/>
          <c:showCatName val="0"/>
          <c:showSerName val="0"/>
          <c:showPercent val="0"/>
          <c:showBubbleSize val="0"/>
        </c:dLbls>
        <c:gapWidth val="315"/>
        <c:overlap val="-40"/>
        <c:axId val="637861504"/>
        <c:axId val="637863904"/>
      </c:barChart>
      <c:catAx>
        <c:axId val="637861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863904"/>
        <c:crosses val="autoZero"/>
        <c:auto val="1"/>
        <c:lblAlgn val="ctr"/>
        <c:lblOffset val="100"/>
        <c:noMultiLvlLbl val="0"/>
      </c:catAx>
      <c:valAx>
        <c:axId val="637863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8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manualLayout>
          <c:layoutTarget val="inner"/>
          <c:xMode val="edge"/>
          <c:yMode val="edge"/>
          <c:x val="9.8296279568721376E-2"/>
          <c:y val="0.2464765547776642"/>
          <c:w val="0.74689246861813152"/>
          <c:h val="0.49641370880212987"/>
        </c:manualLayout>
      </c:layout>
      <c:pieChart>
        <c:varyColors val="1"/>
        <c:ser>
          <c:idx val="0"/>
          <c:order val="0"/>
          <c:tx>
            <c:strRef>
              <c:f>'pivot table'!$G$3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E82B-4186-A40C-1B2701FA640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E82B-4186-A40C-1B2701FA640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E82B-4186-A40C-1B2701FA6409}"/>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E82B-4186-A40C-1B2701FA6409}"/>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E82B-4186-A40C-1B2701FA64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table'!$F$4:$F$9</c:f>
              <c:strCache>
                <c:ptCount val="5"/>
                <c:pt idx="0">
                  <c:v>Books</c:v>
                </c:pt>
                <c:pt idx="1">
                  <c:v>Clothing</c:v>
                </c:pt>
                <c:pt idx="2">
                  <c:v>Electronics</c:v>
                </c:pt>
                <c:pt idx="3">
                  <c:v>Furniture</c:v>
                </c:pt>
                <c:pt idx="4">
                  <c:v>Office Supplies</c:v>
                </c:pt>
              </c:strCache>
            </c:strRef>
          </c:cat>
          <c:val>
            <c:numRef>
              <c:f>'pivot table'!$G$4:$G$9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9476-4847-956E-DF3F517BD0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table'!$A$54:$A$67</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 table'!$B$54:$B$67</c:f>
              <c:numCache>
                <c:formatCode>General</c:formatCode>
                <c:ptCount val="13"/>
                <c:pt idx="0">
                  <c:v>19029.96</c:v>
                </c:pt>
                <c:pt idx="1">
                  <c:v>3212.17</c:v>
                </c:pt>
                <c:pt idx="2">
                  <c:v>10091.699999999999</c:v>
                </c:pt>
                <c:pt idx="3">
                  <c:v>11120.04</c:v>
                </c:pt>
                <c:pt idx="4">
                  <c:v>14006.359999999999</c:v>
                </c:pt>
                <c:pt idx="5">
                  <c:v>14914.650000000001</c:v>
                </c:pt>
                <c:pt idx="6">
                  <c:v>11609.039999999999</c:v>
                </c:pt>
                <c:pt idx="7">
                  <c:v>20187.509999999998</c:v>
                </c:pt>
                <c:pt idx="8">
                  <c:v>17655.219999999998</c:v>
                </c:pt>
                <c:pt idx="9">
                  <c:v>18507.339999999997</c:v>
                </c:pt>
                <c:pt idx="10">
                  <c:v>20135.030000000002</c:v>
                </c:pt>
                <c:pt idx="11">
                  <c:v>14215.240000000002</c:v>
                </c:pt>
                <c:pt idx="12">
                  <c:v>20533.499999999996</c:v>
                </c:pt>
              </c:numCache>
            </c:numRef>
          </c:val>
          <c:smooth val="0"/>
          <c:extLst>
            <c:ext xmlns:c16="http://schemas.microsoft.com/office/drawing/2014/chart" uri="{C3380CC4-5D6E-409C-BE32-E72D297353CC}">
              <c16:uniqueId val="{00000000-C156-424F-B7E0-B957C2EAA0B9}"/>
            </c:ext>
          </c:extLst>
        </c:ser>
        <c:dLbls>
          <c:showLegendKey val="0"/>
          <c:showVal val="0"/>
          <c:showCatName val="0"/>
          <c:showSerName val="0"/>
          <c:showPercent val="0"/>
          <c:showBubbleSize val="0"/>
        </c:dLbls>
        <c:marker val="1"/>
        <c:smooth val="0"/>
        <c:axId val="733213264"/>
        <c:axId val="733214224"/>
      </c:lineChart>
      <c:catAx>
        <c:axId val="7332132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214224"/>
        <c:crosses val="autoZero"/>
        <c:auto val="1"/>
        <c:lblAlgn val="ctr"/>
        <c:lblOffset val="100"/>
        <c:noMultiLvlLbl val="0"/>
      </c:catAx>
      <c:valAx>
        <c:axId val="733214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2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table!PivotTable5</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table'!$M$37</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table'!$M$38</c:f>
              <c:strCache>
                <c:ptCount val="1"/>
                <c:pt idx="0">
                  <c:v>Total</c:v>
                </c:pt>
              </c:strCache>
            </c:strRef>
          </c:cat>
          <c:val>
            <c:numRef>
              <c:f>'pivot table'!$M$38</c:f>
              <c:numCache>
                <c:formatCode>General</c:formatCode>
                <c:ptCount val="1"/>
                <c:pt idx="0">
                  <c:v>195217.75999999992</c:v>
                </c:pt>
              </c:numCache>
            </c:numRef>
          </c:val>
          <c:extLst>
            <c:ext xmlns:c16="http://schemas.microsoft.com/office/drawing/2014/chart" uri="{C3380CC4-5D6E-409C-BE32-E72D297353CC}">
              <c16:uniqueId val="{00000000-E7CA-4127-B1DE-2F2D1F6F01A8}"/>
            </c:ext>
          </c:extLst>
        </c:ser>
        <c:ser>
          <c:idx val="1"/>
          <c:order val="1"/>
          <c:tx>
            <c:strRef>
              <c:f>'pivot table'!$N$37</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table'!$M$38</c:f>
              <c:strCache>
                <c:ptCount val="1"/>
                <c:pt idx="0">
                  <c:v>Total</c:v>
                </c:pt>
              </c:strCache>
            </c:strRef>
          </c:cat>
          <c:val>
            <c:numRef>
              <c:f>'pivot table'!$N$38</c:f>
              <c:numCache>
                <c:formatCode>General</c:formatCode>
                <c:ptCount val="1"/>
                <c:pt idx="0">
                  <c:v>68287.010000000009</c:v>
                </c:pt>
              </c:numCache>
            </c:numRef>
          </c:val>
          <c:extLst>
            <c:ext xmlns:c16="http://schemas.microsoft.com/office/drawing/2014/chart" uri="{C3380CC4-5D6E-409C-BE32-E72D297353CC}">
              <c16:uniqueId val="{00000001-E7CA-4127-B1DE-2F2D1F6F01A8}"/>
            </c:ext>
          </c:extLst>
        </c:ser>
        <c:dLbls>
          <c:showLegendKey val="0"/>
          <c:showVal val="0"/>
          <c:showCatName val="0"/>
          <c:showSerName val="0"/>
          <c:showPercent val="0"/>
          <c:showBubbleSize val="0"/>
        </c:dLbls>
        <c:gapWidth val="150"/>
        <c:shape val="box"/>
        <c:axId val="365540896"/>
        <c:axId val="365552416"/>
        <c:axId val="0"/>
      </c:bar3DChart>
      <c:catAx>
        <c:axId val="36554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5552416"/>
        <c:crosses val="autoZero"/>
        <c:auto val="1"/>
        <c:lblAlgn val="ctr"/>
        <c:lblOffset val="100"/>
        <c:noMultiLvlLbl val="0"/>
      </c:catAx>
      <c:valAx>
        <c:axId val="3655524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554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table'!$A$54:$A$67</c:f>
              <c:strCache>
                <c:ptCount val="13"/>
                <c:pt idx="0">
                  <c:v>Apr-2024</c:v>
                </c:pt>
                <c:pt idx="1">
                  <c:v>Apr-2025</c:v>
                </c:pt>
                <c:pt idx="2">
                  <c:v>Aug-2024</c:v>
                </c:pt>
                <c:pt idx="3">
                  <c:v>Dec-2024</c:v>
                </c:pt>
                <c:pt idx="4">
                  <c:v>Feb-2025</c:v>
                </c:pt>
                <c:pt idx="5">
                  <c:v>Jan-2025</c:v>
                </c:pt>
                <c:pt idx="6">
                  <c:v>Jul-2024</c:v>
                </c:pt>
                <c:pt idx="7">
                  <c:v>Jun-2024</c:v>
                </c:pt>
                <c:pt idx="8">
                  <c:v>Mar-2025</c:v>
                </c:pt>
                <c:pt idx="9">
                  <c:v>May-2024</c:v>
                </c:pt>
                <c:pt idx="10">
                  <c:v>Nov-2024</c:v>
                </c:pt>
                <c:pt idx="11">
                  <c:v>Oct-2024</c:v>
                </c:pt>
                <c:pt idx="12">
                  <c:v>Sep-2024</c:v>
                </c:pt>
              </c:strCache>
            </c:strRef>
          </c:cat>
          <c:val>
            <c:numRef>
              <c:f>'pivot table'!$B$54:$B$67</c:f>
              <c:numCache>
                <c:formatCode>General</c:formatCode>
                <c:ptCount val="13"/>
                <c:pt idx="0">
                  <c:v>19029.96</c:v>
                </c:pt>
                <c:pt idx="1">
                  <c:v>3212.17</c:v>
                </c:pt>
                <c:pt idx="2">
                  <c:v>10091.699999999999</c:v>
                </c:pt>
                <c:pt idx="3">
                  <c:v>11120.04</c:v>
                </c:pt>
                <c:pt idx="4">
                  <c:v>14006.359999999999</c:v>
                </c:pt>
                <c:pt idx="5">
                  <c:v>14914.650000000001</c:v>
                </c:pt>
                <c:pt idx="6">
                  <c:v>11609.039999999999</c:v>
                </c:pt>
                <c:pt idx="7">
                  <c:v>20187.509999999998</c:v>
                </c:pt>
                <c:pt idx="8">
                  <c:v>17655.219999999998</c:v>
                </c:pt>
                <c:pt idx="9">
                  <c:v>18507.339999999997</c:v>
                </c:pt>
                <c:pt idx="10">
                  <c:v>20135.030000000002</c:v>
                </c:pt>
                <c:pt idx="11">
                  <c:v>14215.240000000002</c:v>
                </c:pt>
                <c:pt idx="12">
                  <c:v>20533.499999999996</c:v>
                </c:pt>
              </c:numCache>
            </c:numRef>
          </c:val>
          <c:smooth val="0"/>
          <c:extLst>
            <c:ext xmlns:c16="http://schemas.microsoft.com/office/drawing/2014/chart" uri="{C3380CC4-5D6E-409C-BE32-E72D297353CC}">
              <c16:uniqueId val="{00000000-D2A0-4343-8CF5-731ABB3A95F0}"/>
            </c:ext>
          </c:extLst>
        </c:ser>
        <c:dLbls>
          <c:showLegendKey val="0"/>
          <c:showVal val="0"/>
          <c:showCatName val="0"/>
          <c:showSerName val="0"/>
          <c:showPercent val="0"/>
          <c:showBubbleSize val="0"/>
        </c:dLbls>
        <c:marker val="1"/>
        <c:smooth val="0"/>
        <c:axId val="733213264"/>
        <c:axId val="733214224"/>
      </c:lineChart>
      <c:catAx>
        <c:axId val="73321326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214224"/>
        <c:crosses val="autoZero"/>
        <c:auto val="1"/>
        <c:lblAlgn val="ctr"/>
        <c:lblOffset val="100"/>
        <c:noMultiLvlLbl val="0"/>
      </c:catAx>
      <c:valAx>
        <c:axId val="733214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2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table'!$A$12:$A$17</c:f>
              <c:strCache>
                <c:ptCount val="5"/>
                <c:pt idx="0">
                  <c:v>Central</c:v>
                </c:pt>
                <c:pt idx="1">
                  <c:v>East</c:v>
                </c:pt>
                <c:pt idx="2">
                  <c:v>North</c:v>
                </c:pt>
                <c:pt idx="3">
                  <c:v>South</c:v>
                </c:pt>
                <c:pt idx="4">
                  <c:v>West</c:v>
                </c:pt>
              </c:strCache>
            </c:strRef>
          </c:cat>
          <c:val>
            <c:numRef>
              <c:f>'pivot table'!$B$12:$B$17</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04D4-4FAC-B0C7-CF22BBFEFFD8}"/>
            </c:ext>
          </c:extLst>
        </c:ser>
        <c:dLbls>
          <c:showLegendKey val="0"/>
          <c:showVal val="0"/>
          <c:showCatName val="0"/>
          <c:showSerName val="0"/>
          <c:showPercent val="0"/>
          <c:showBubbleSize val="0"/>
        </c:dLbls>
        <c:gapWidth val="150"/>
        <c:shape val="box"/>
        <c:axId val="508911824"/>
        <c:axId val="508912784"/>
        <c:axId val="0"/>
      </c:bar3DChart>
      <c:catAx>
        <c:axId val="50891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912784"/>
        <c:crosses val="autoZero"/>
        <c:auto val="1"/>
        <c:lblAlgn val="ctr"/>
        <c:lblOffset val="100"/>
        <c:noMultiLvlLbl val="0"/>
      </c:catAx>
      <c:valAx>
        <c:axId val="5089127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91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8"/>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28436230903367E-2"/>
          <c:y val="0.13993026184328464"/>
          <c:w val="0.58742498411960142"/>
          <c:h val="0.73763501108563434"/>
        </c:manualLayout>
      </c:layout>
      <c:barChart>
        <c:barDir val="col"/>
        <c:grouping val="clustered"/>
        <c:varyColors val="0"/>
        <c:ser>
          <c:idx val="0"/>
          <c:order val="0"/>
          <c:tx>
            <c:strRef>
              <c:f>'pivot table'!$M$20</c:f>
              <c:strCache>
                <c:ptCount val="1"/>
                <c:pt idx="0">
                  <c:v>Sum of Total Purchase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table'!$M$21</c:f>
              <c:strCache>
                <c:ptCount val="1"/>
                <c:pt idx="0">
                  <c:v>Total</c:v>
                </c:pt>
              </c:strCache>
            </c:strRef>
          </c:cat>
          <c:val>
            <c:numRef>
              <c:f>'pivot table'!$M$21</c:f>
              <c:numCache>
                <c:formatCode>General</c:formatCode>
                <c:ptCount val="1"/>
                <c:pt idx="0">
                  <c:v>195217.75999999992</c:v>
                </c:pt>
              </c:numCache>
            </c:numRef>
          </c:val>
          <c:extLst>
            <c:ext xmlns:c16="http://schemas.microsoft.com/office/drawing/2014/chart" uri="{C3380CC4-5D6E-409C-BE32-E72D297353CC}">
              <c16:uniqueId val="{00000000-DDBB-490B-AB97-F07262223A04}"/>
            </c:ext>
          </c:extLst>
        </c:ser>
        <c:ser>
          <c:idx val="1"/>
          <c:order val="1"/>
          <c:tx>
            <c:strRef>
              <c:f>'pivot table'!$N$20</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table'!$M$21</c:f>
              <c:strCache>
                <c:ptCount val="1"/>
                <c:pt idx="0">
                  <c:v>Total</c:v>
                </c:pt>
              </c:strCache>
            </c:strRef>
          </c:cat>
          <c:val>
            <c:numRef>
              <c:f>'pivot table'!$N$21</c:f>
              <c:numCache>
                <c:formatCode>General</c:formatCode>
                <c:ptCount val="1"/>
                <c:pt idx="0">
                  <c:v>68287.010000000009</c:v>
                </c:pt>
              </c:numCache>
            </c:numRef>
          </c:val>
          <c:extLst>
            <c:ext xmlns:c16="http://schemas.microsoft.com/office/drawing/2014/chart" uri="{C3380CC4-5D6E-409C-BE32-E72D297353CC}">
              <c16:uniqueId val="{00000001-DDBB-490B-AB97-F07262223A04}"/>
            </c:ext>
          </c:extLst>
        </c:ser>
        <c:dLbls>
          <c:showLegendKey val="0"/>
          <c:showVal val="0"/>
          <c:showCatName val="0"/>
          <c:showSerName val="0"/>
          <c:showPercent val="0"/>
          <c:showBubbleSize val="0"/>
        </c:dLbls>
        <c:gapWidth val="315"/>
        <c:overlap val="-40"/>
        <c:axId val="637861504"/>
        <c:axId val="637863904"/>
      </c:barChart>
      <c:catAx>
        <c:axId val="637861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863904"/>
        <c:crosses val="autoZero"/>
        <c:auto val="1"/>
        <c:lblAlgn val="ctr"/>
        <c:lblOffset val="100"/>
        <c:noMultiLvlLbl val="0"/>
      </c:catAx>
      <c:valAx>
        <c:axId val="637863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78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16"/>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dLbl>
          <c:idx val="0"/>
          <c:layout>
            <c:manualLayout>
              <c:x val="-0.11044387119931665"/>
              <c:y val="4.158385718970646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dLbl>
          <c:idx val="0"/>
          <c:layout>
            <c:manualLayout>
              <c:x val="3.7689210648274324E-2"/>
              <c:y val="1.7313535447724335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96279568721376E-2"/>
          <c:y val="0.2464765547776642"/>
          <c:w val="0.74689246861813152"/>
          <c:h val="0.49641370880212987"/>
        </c:manualLayout>
      </c:layout>
      <c:pieChart>
        <c:varyColors val="1"/>
        <c:ser>
          <c:idx val="0"/>
          <c:order val="0"/>
          <c:tx>
            <c:strRef>
              <c:f>'pivot table'!$G$3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C7-4412-B93A-3A307CCB4A3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C7-4412-B93A-3A307CCB4A3B}"/>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C7-4412-B93A-3A307CCB4A3B}"/>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C7-4412-B93A-3A307CCB4A3B}"/>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1C7-4412-B93A-3A307CCB4A3B}"/>
              </c:ext>
            </c:extLst>
          </c:dPt>
          <c:dLbls>
            <c:dLbl>
              <c:idx val="0"/>
              <c:layout>
                <c:manualLayout>
                  <c:x val="-0.11044387119931665"/>
                  <c:y val="4.15838571897064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C7-4412-B93A-3A307CCB4A3B}"/>
                </c:ext>
              </c:extLst>
            </c:dLbl>
            <c:dLbl>
              <c:idx val="4"/>
              <c:layout>
                <c:manualLayout>
                  <c:x val="3.7689210648274324E-2"/>
                  <c:y val="1.73135354477243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C7-4412-B93A-3A307CCB4A3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table'!$F$4:$F$9</c:f>
              <c:strCache>
                <c:ptCount val="5"/>
                <c:pt idx="0">
                  <c:v>Books</c:v>
                </c:pt>
                <c:pt idx="1">
                  <c:v>Clothing</c:v>
                </c:pt>
                <c:pt idx="2">
                  <c:v>Electronics</c:v>
                </c:pt>
                <c:pt idx="3">
                  <c:v>Furniture</c:v>
                </c:pt>
                <c:pt idx="4">
                  <c:v>Office Supplies</c:v>
                </c:pt>
              </c:strCache>
            </c:strRef>
          </c:cat>
          <c:val>
            <c:numRef>
              <c:f>'pivot table'!$G$4:$G$9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61C7-4412-B93A-3A307CCB4A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197559</xdr:colOff>
      <xdr:row>19</xdr:row>
      <xdr:rowOff>448</xdr:rowOff>
    </xdr:from>
    <xdr:to>
      <xdr:col>4</xdr:col>
      <xdr:colOff>498040</xdr:colOff>
      <xdr:row>34</xdr:row>
      <xdr:rowOff>39018</xdr:rowOff>
    </xdr:to>
    <xdr:graphicFrame macro="">
      <xdr:nvGraphicFramePr>
        <xdr:cNvPr id="2" name="Chart 1">
          <a:extLst>
            <a:ext uri="{FF2B5EF4-FFF2-40B4-BE49-F238E27FC236}">
              <a16:creationId xmlns:a16="http://schemas.microsoft.com/office/drawing/2014/main" id="{66EE534C-8999-2159-F1B0-35F8A16B5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1317901</xdr:colOff>
      <xdr:row>19</xdr:row>
      <xdr:rowOff>1989</xdr:rowOff>
    </xdr:from>
    <xdr:to>
      <xdr:col>11</xdr:col>
      <xdr:colOff>644476</xdr:colOff>
      <xdr:row>34</xdr:row>
      <xdr:rowOff>9478</xdr:rowOff>
    </xdr:to>
    <xdr:graphicFrame macro="">
      <xdr:nvGraphicFramePr>
        <xdr:cNvPr id="3" name="Chart 2">
          <a:extLst>
            <a:ext uri="{FF2B5EF4-FFF2-40B4-BE49-F238E27FC236}">
              <a16:creationId xmlns:a16="http://schemas.microsoft.com/office/drawing/2014/main" id="{F5AEF578-CA81-A8E9-9243-4279AE608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603724</xdr:colOff>
      <xdr:row>1</xdr:row>
      <xdr:rowOff>170596</xdr:rowOff>
    </xdr:from>
    <xdr:to>
      <xdr:col>12</xdr:col>
      <xdr:colOff>369628</xdr:colOff>
      <xdr:row>15</xdr:row>
      <xdr:rowOff>150011</xdr:rowOff>
    </xdr:to>
    <xdr:graphicFrame macro="">
      <xdr:nvGraphicFramePr>
        <xdr:cNvPr id="5" name="Chart 4">
          <a:extLst>
            <a:ext uri="{FF2B5EF4-FFF2-40B4-BE49-F238E27FC236}">
              <a16:creationId xmlns:a16="http://schemas.microsoft.com/office/drawing/2014/main" id="{955A1F08-A586-EDA1-FF4F-90897EDEC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218335</xdr:colOff>
      <xdr:row>36</xdr:row>
      <xdr:rowOff>9138</xdr:rowOff>
    </xdr:from>
    <xdr:to>
      <xdr:col>4</xdr:col>
      <xdr:colOff>501300</xdr:colOff>
      <xdr:row>50</xdr:row>
      <xdr:rowOff>91624</xdr:rowOff>
    </xdr:to>
    <xdr:graphicFrame macro="">
      <xdr:nvGraphicFramePr>
        <xdr:cNvPr id="7" name="Chart 6">
          <a:extLst>
            <a:ext uri="{FF2B5EF4-FFF2-40B4-BE49-F238E27FC236}">
              <a16:creationId xmlns:a16="http://schemas.microsoft.com/office/drawing/2014/main" id="{9D4A2D5A-1A45-155B-4A1A-098B74C26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3412</xdr:colOff>
      <xdr:row>36</xdr:row>
      <xdr:rowOff>9857</xdr:rowOff>
    </xdr:from>
    <xdr:to>
      <xdr:col>11</xdr:col>
      <xdr:colOff>593677</xdr:colOff>
      <xdr:row>50</xdr:row>
      <xdr:rowOff>86057</xdr:rowOff>
    </xdr:to>
    <xdr:graphicFrame macro="">
      <xdr:nvGraphicFramePr>
        <xdr:cNvPr id="4" name="Chart 3">
          <a:extLst>
            <a:ext uri="{FF2B5EF4-FFF2-40B4-BE49-F238E27FC236}">
              <a16:creationId xmlns:a16="http://schemas.microsoft.com/office/drawing/2014/main" id="{241D272F-1DF8-4A18-EB14-542A79BB2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489262</xdr:colOff>
      <xdr:row>1</xdr:row>
      <xdr:rowOff>176967</xdr:rowOff>
    </xdr:from>
    <xdr:to>
      <xdr:col>18</xdr:col>
      <xdr:colOff>287459</xdr:colOff>
      <xdr:row>15</xdr:row>
      <xdr:rowOff>73688</xdr:rowOff>
    </xdr:to>
    <xdr:graphicFrame macro="">
      <xdr:nvGraphicFramePr>
        <xdr:cNvPr id="2" name="Chart 1">
          <a:extLst>
            <a:ext uri="{FF2B5EF4-FFF2-40B4-BE49-F238E27FC236}">
              <a16:creationId xmlns:a16="http://schemas.microsoft.com/office/drawing/2014/main" id="{AF61C02D-ECC4-4127-8D36-BDAE24FC2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499672</xdr:colOff>
      <xdr:row>16</xdr:row>
      <xdr:rowOff>31229</xdr:rowOff>
    </xdr:from>
    <xdr:to>
      <xdr:col>18</xdr:col>
      <xdr:colOff>297869</xdr:colOff>
      <xdr:row>29</xdr:row>
      <xdr:rowOff>115328</xdr:rowOff>
    </xdr:to>
    <xdr:graphicFrame macro="">
      <xdr:nvGraphicFramePr>
        <xdr:cNvPr id="3" name="Chart 2">
          <a:extLst>
            <a:ext uri="{FF2B5EF4-FFF2-40B4-BE49-F238E27FC236}">
              <a16:creationId xmlns:a16="http://schemas.microsoft.com/office/drawing/2014/main" id="{CC611D2E-0622-409C-8F00-94B542773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499672</xdr:colOff>
      <xdr:row>1</xdr:row>
      <xdr:rowOff>145738</xdr:rowOff>
    </xdr:from>
    <xdr:to>
      <xdr:col>25</xdr:col>
      <xdr:colOff>520410</xdr:colOff>
      <xdr:row>29</xdr:row>
      <xdr:rowOff>119181</xdr:rowOff>
    </xdr:to>
    <xdr:graphicFrame macro="">
      <xdr:nvGraphicFramePr>
        <xdr:cNvPr id="4" name="Chart 3">
          <a:extLst>
            <a:ext uri="{FF2B5EF4-FFF2-40B4-BE49-F238E27FC236}">
              <a16:creationId xmlns:a16="http://schemas.microsoft.com/office/drawing/2014/main" id="{BCADDED4-22D0-44F9-B215-74D2BE279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446904</xdr:colOff>
      <xdr:row>16</xdr:row>
      <xdr:rowOff>47232</xdr:rowOff>
    </xdr:from>
    <xdr:to>
      <xdr:col>8</xdr:col>
      <xdr:colOff>315814</xdr:colOff>
      <xdr:row>30</xdr:row>
      <xdr:rowOff>6654</xdr:rowOff>
    </xdr:to>
    <xdr:graphicFrame macro="">
      <xdr:nvGraphicFramePr>
        <xdr:cNvPr id="5" name="Chart 4">
          <a:extLst>
            <a:ext uri="{FF2B5EF4-FFF2-40B4-BE49-F238E27FC236}">
              <a16:creationId xmlns:a16="http://schemas.microsoft.com/office/drawing/2014/main" id="{C2B426D0-BDDA-49FC-9C6B-238AD10D9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492962</xdr:colOff>
      <xdr:row>2</xdr:row>
      <xdr:rowOff>13702</xdr:rowOff>
    </xdr:from>
    <xdr:to>
      <xdr:col>8</xdr:col>
      <xdr:colOff>342566</xdr:colOff>
      <xdr:row>15</xdr:row>
      <xdr:rowOff>57727</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65758548-0655-A366-6689-D97C3158547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97834" y="371907"/>
              <a:ext cx="3464219" cy="2372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SOSA" refreshedDate="46070.561741550926" createdVersion="8" refreshedVersion="8" minRefreshableVersion="3" recordCount="200" xr:uid="{AF4A652A-6E43-452C-8559-D017EFE7E58E}">
  <cacheSource type="worksheet">
    <worksheetSource ref="A1:K201" sheet="Dataset"/>
  </cacheSource>
  <cacheFields count="11">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Total Purchase" numFmtId="0">
      <sharedItems containsSemiMixedTypes="0" containsString="0" containsNumber="1" minValue="258.51" maxValue="1923.66"/>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MONTH" numFmtId="0">
      <sharedItems count="13">
        <s v="Apr-2024"/>
        <s v="May-2024"/>
        <s v="Jun-2024"/>
        <s v="Jul-2024"/>
        <s v="Aug-2024"/>
        <s v="Sep-2024"/>
        <s v="Oct-2024"/>
        <s v="Nov-2024"/>
        <s v="Dec-2024"/>
        <s v="Jan-2025"/>
        <s v="Feb-2025"/>
        <s v="Mar-2025"/>
        <s v="Apr-2025"/>
      </sharedItems>
    </cacheField>
  </cacheFields>
  <extLst>
    <ext xmlns:x14="http://schemas.microsoft.com/office/spreadsheetml/2009/9/main" uri="{725AE2AE-9491-48be-B2B4-4EB974FC3084}">
      <x14:pivotCacheDefinition pivotCacheId="1387261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
    <s v="James Davis"/>
    <x v="0"/>
    <x v="0"/>
    <n v="1036.0899999999999"/>
    <n v="4"/>
    <n v="1036.0899999999999"/>
    <n v="0.2"/>
    <d v="2024-04-10T00:00:00"/>
    <n v="331.55"/>
    <x v="0"/>
  </r>
  <r>
    <s v="CUST02"/>
    <s v="Robert Anderson"/>
    <x v="0"/>
    <x v="1"/>
    <n v="1101.28"/>
    <n v="3"/>
    <n v="1101.28"/>
    <n v="0.2"/>
    <d v="2024-04-11T00:00:00"/>
    <n v="440.51"/>
    <x v="0"/>
  </r>
  <r>
    <s v="CUST03"/>
    <s v="James Taylor"/>
    <x v="1"/>
    <x v="0"/>
    <n v="713.34"/>
    <n v="17"/>
    <n v="713.34"/>
    <n v="0"/>
    <d v="2024-04-14T00:00:00"/>
    <n v="285.33999999999997"/>
    <x v="0"/>
  </r>
  <r>
    <s v="CUST04"/>
    <s v="Robert Anderson"/>
    <x v="2"/>
    <x v="2"/>
    <n v="760.93"/>
    <n v="4"/>
    <n v="760.93"/>
    <n v="0.15"/>
    <d v="2024-04-14T00:00:00"/>
    <n v="161.69999999999999"/>
    <x v="0"/>
  </r>
  <r>
    <s v="CUST05"/>
    <s v="James Wilson"/>
    <x v="3"/>
    <x v="0"/>
    <n v="847"/>
    <n v="12"/>
    <n v="847"/>
    <n v="0.2"/>
    <d v="2024-04-15T00:00:00"/>
    <n v="271.04000000000002"/>
    <x v="0"/>
  </r>
  <r>
    <s v="CUST06"/>
    <s v="Michael Anderson"/>
    <x v="3"/>
    <x v="3"/>
    <n v="965.64"/>
    <n v="8"/>
    <n v="965.64"/>
    <n v="0.1"/>
    <d v="2024-04-16T00:00:00"/>
    <n v="304.18"/>
    <x v="0"/>
  </r>
  <r>
    <s v="CUST07"/>
    <s v="Linda Wilson"/>
    <x v="0"/>
    <x v="2"/>
    <n v="1317.53"/>
    <n v="12"/>
    <n v="1317.53"/>
    <n v="0.05"/>
    <d v="2024-04-16T00:00:00"/>
    <n v="312.91000000000003"/>
    <x v="0"/>
  </r>
  <r>
    <s v="CUST08"/>
    <s v="Mary Davis"/>
    <x v="1"/>
    <x v="3"/>
    <n v="1074.47"/>
    <n v="6"/>
    <n v="1074.47"/>
    <n v="0.2"/>
    <d v="2024-04-19T00:00:00"/>
    <n v="300.85000000000002"/>
    <x v="0"/>
  </r>
  <r>
    <s v="CUST09"/>
    <s v="Linda Jackson"/>
    <x v="4"/>
    <x v="0"/>
    <n v="501.54"/>
    <n v="11"/>
    <n v="501.54"/>
    <n v="0.05"/>
    <d v="2024-04-19T00:00:00"/>
    <n v="190.59"/>
    <x v="0"/>
  </r>
  <r>
    <s v="CUST10"/>
    <s v="David Thomas"/>
    <x v="4"/>
    <x v="1"/>
    <n v="737.31"/>
    <n v="2"/>
    <n v="737.31"/>
    <n v="0.05"/>
    <d v="2024-04-19T00:00:00"/>
    <n v="350.22"/>
    <x v="0"/>
  </r>
  <r>
    <s v="CUST11"/>
    <s v="Emma Davis"/>
    <x v="0"/>
    <x v="4"/>
    <n v="1572.82"/>
    <n v="6"/>
    <n v="1572.82"/>
    <n v="0.05"/>
    <d v="2024-04-20T00:00:00"/>
    <n v="672.38"/>
    <x v="0"/>
  </r>
  <r>
    <s v="CUST12"/>
    <s v="David Thomas"/>
    <x v="4"/>
    <x v="0"/>
    <n v="1343.13"/>
    <n v="14"/>
    <n v="1343.13"/>
    <n v="0.15"/>
    <d v="2024-04-22T00:00:00"/>
    <n v="456.66"/>
    <x v="0"/>
  </r>
  <r>
    <s v="CUST13"/>
    <s v="Michael Anderson"/>
    <x v="4"/>
    <x v="0"/>
    <n v="1191.58"/>
    <n v="14"/>
    <n v="1191.58"/>
    <n v="0.05"/>
    <d v="2024-04-24T00:00:00"/>
    <n v="452.8"/>
    <x v="0"/>
  </r>
  <r>
    <s v="CUST14"/>
    <s v="Robert Anderson"/>
    <x v="0"/>
    <x v="3"/>
    <n v="822.28"/>
    <n v="7"/>
    <n v="822.28"/>
    <n v="0.05"/>
    <d v="2024-04-24T00:00:00"/>
    <n v="273.41000000000003"/>
    <x v="0"/>
  </r>
  <r>
    <s v="CUST15"/>
    <s v="David Smith"/>
    <x v="3"/>
    <x v="3"/>
    <n v="521.66999999999996"/>
    <n v="15"/>
    <n v="521.66999999999996"/>
    <n v="0.15"/>
    <d v="2024-04-27T00:00:00"/>
    <n v="155.19999999999999"/>
    <x v="0"/>
  </r>
  <r>
    <s v="CUST16"/>
    <s v="Sarah Anderson"/>
    <x v="2"/>
    <x v="2"/>
    <n v="1502.93"/>
    <n v="14"/>
    <n v="1502.93"/>
    <n v="0.2"/>
    <d v="2024-04-28T00:00:00"/>
    <n v="300.58999999999997"/>
    <x v="0"/>
  </r>
  <r>
    <s v="CUST17"/>
    <s v="Robert Anderson"/>
    <x v="2"/>
    <x v="0"/>
    <n v="877.58"/>
    <n v="10"/>
    <n v="877.58"/>
    <n v="0.15"/>
    <d v="2024-04-29T00:00:00"/>
    <n v="298.38"/>
    <x v="0"/>
  </r>
  <r>
    <s v="CUST18"/>
    <s v="Lisa Thomas"/>
    <x v="0"/>
    <x v="0"/>
    <n v="636.70000000000005"/>
    <n v="4"/>
    <n v="636.70000000000005"/>
    <n v="0.2"/>
    <d v="2024-04-29T00:00:00"/>
    <n v="203.74"/>
    <x v="0"/>
  </r>
  <r>
    <s v="CUST19"/>
    <s v="Mary Jackson"/>
    <x v="0"/>
    <x v="0"/>
    <n v="1506.14"/>
    <n v="13"/>
    <n v="1506.14"/>
    <n v="0.2"/>
    <d v="2024-04-30T00:00:00"/>
    <n v="481.96"/>
    <x v="0"/>
  </r>
  <r>
    <s v="CUST20"/>
    <s v="Mary Davis"/>
    <x v="4"/>
    <x v="2"/>
    <n v="645.02"/>
    <n v="4"/>
    <n v="645.02"/>
    <n v="0"/>
    <d v="2024-05-02T00:00:00"/>
    <n v="161.26"/>
    <x v="1"/>
  </r>
  <r>
    <s v="CUST21"/>
    <s v="Lisa Davis"/>
    <x v="2"/>
    <x v="1"/>
    <n v="953.3"/>
    <n v="11"/>
    <n v="953.3"/>
    <n v="0"/>
    <d v="2024-05-03T00:00:00"/>
    <n v="476.65"/>
    <x v="1"/>
  </r>
  <r>
    <s v="CUST22"/>
    <s v="Robert Anderson"/>
    <x v="3"/>
    <x v="2"/>
    <n v="388.56"/>
    <n v="14"/>
    <n v="388.56"/>
    <n v="0.15"/>
    <d v="2024-05-04T00:00:00"/>
    <n v="82.57"/>
    <x v="1"/>
  </r>
  <r>
    <s v="CUST23"/>
    <s v="Mary Davis"/>
    <x v="0"/>
    <x v="0"/>
    <n v="743.17"/>
    <n v="9"/>
    <n v="743.17"/>
    <n v="0"/>
    <d v="2024-05-04T00:00:00"/>
    <n v="297.27"/>
    <x v="1"/>
  </r>
  <r>
    <s v="CUST24"/>
    <s v="Mary Davis"/>
    <x v="4"/>
    <x v="2"/>
    <n v="706.37"/>
    <n v="6"/>
    <n v="706.37"/>
    <n v="0"/>
    <d v="2024-05-04T00:00:00"/>
    <n v="176.59"/>
    <x v="1"/>
  </r>
  <r>
    <s v="CUST25"/>
    <s v="Mary Davis"/>
    <x v="4"/>
    <x v="4"/>
    <n v="925.31"/>
    <n v="8"/>
    <n v="925.31"/>
    <n v="0.1"/>
    <d v="2024-05-06T00:00:00"/>
    <n v="374.75"/>
    <x v="1"/>
  </r>
  <r>
    <s v="CUST26"/>
    <s v="Linda Brown"/>
    <x v="2"/>
    <x v="2"/>
    <n v="1173.1199999999999"/>
    <n v="18"/>
    <n v="1173.1199999999999"/>
    <n v="0"/>
    <d v="2024-05-06T00:00:00"/>
    <n v="293.27999999999997"/>
    <x v="1"/>
  </r>
  <r>
    <s v="CUST27"/>
    <s v="John Brown"/>
    <x v="3"/>
    <x v="3"/>
    <n v="675.54"/>
    <n v="17"/>
    <n v="675.54"/>
    <n v="0"/>
    <d v="2024-05-08T00:00:00"/>
    <n v="236.44"/>
    <x v="1"/>
  </r>
  <r>
    <s v="CUST28"/>
    <s v="Robert Anderson"/>
    <x v="4"/>
    <x v="0"/>
    <n v="939.09"/>
    <n v="2"/>
    <n v="939.09"/>
    <n v="0.05"/>
    <d v="2024-05-10T00:00:00"/>
    <n v="356.85"/>
    <x v="1"/>
  </r>
  <r>
    <s v="CUST29"/>
    <s v="Linda Taylor"/>
    <x v="1"/>
    <x v="4"/>
    <n v="983.34"/>
    <n v="19"/>
    <n v="983.34"/>
    <n v="0.1"/>
    <d v="2024-05-14T00:00:00"/>
    <n v="398.25"/>
    <x v="1"/>
  </r>
  <r>
    <s v="CUST30"/>
    <s v="James Wilson"/>
    <x v="2"/>
    <x v="2"/>
    <n v="801.21"/>
    <n v="3"/>
    <n v="801.21"/>
    <n v="0.2"/>
    <d v="2024-05-14T00:00:00"/>
    <n v="160.24"/>
    <x v="1"/>
  </r>
  <r>
    <s v="CUST31"/>
    <s v="David Brown"/>
    <x v="3"/>
    <x v="2"/>
    <n v="1450.71"/>
    <n v="5"/>
    <n v="1450.71"/>
    <n v="0.1"/>
    <d v="2024-05-15T00:00:00"/>
    <n v="326.41000000000003"/>
    <x v="1"/>
  </r>
  <r>
    <s v="CUST32"/>
    <s v="David Davis"/>
    <x v="4"/>
    <x v="0"/>
    <n v="1023.21"/>
    <n v="18"/>
    <n v="1023.21"/>
    <n v="0.05"/>
    <d v="2024-05-16T00:00:00"/>
    <n v="388.82"/>
    <x v="1"/>
  </r>
  <r>
    <s v="CUST33"/>
    <s v="Mary Jackson"/>
    <x v="0"/>
    <x v="3"/>
    <n v="853.72"/>
    <n v="5"/>
    <n v="853.72"/>
    <n v="0.15"/>
    <d v="2024-05-16T00:00:00"/>
    <n v="253.98"/>
    <x v="1"/>
  </r>
  <r>
    <s v="CUST34"/>
    <s v="Sarah Anderson"/>
    <x v="2"/>
    <x v="2"/>
    <n v="967.89"/>
    <n v="10"/>
    <n v="967.89"/>
    <n v="0.1"/>
    <d v="2024-05-17T00:00:00"/>
    <n v="217.78"/>
    <x v="1"/>
  </r>
  <r>
    <s v="CUST35"/>
    <s v="Linda Taylor"/>
    <x v="3"/>
    <x v="4"/>
    <n v="1200.9000000000001"/>
    <n v="14"/>
    <n v="1200.9000000000001"/>
    <n v="0.05"/>
    <d v="2024-05-17T00:00:00"/>
    <n v="513.38"/>
    <x v="1"/>
  </r>
  <r>
    <s v="CUST36"/>
    <s v="Michael Anderson"/>
    <x v="0"/>
    <x v="0"/>
    <n v="472.38"/>
    <n v="12"/>
    <n v="472.38"/>
    <n v="0.2"/>
    <d v="2024-05-17T00:00:00"/>
    <n v="151.16"/>
    <x v="1"/>
  </r>
  <r>
    <s v="CUST37"/>
    <s v="David Brown"/>
    <x v="1"/>
    <x v="4"/>
    <n v="840.92"/>
    <n v="9"/>
    <n v="840.92"/>
    <n v="0.05"/>
    <d v="2024-05-17T00:00:00"/>
    <n v="359.49"/>
    <x v="1"/>
  </r>
  <r>
    <s v="CUST38"/>
    <s v="Lisa Davis"/>
    <x v="4"/>
    <x v="3"/>
    <n v="1410.06"/>
    <n v="11"/>
    <n v="1410.06"/>
    <n v="0.05"/>
    <d v="2024-05-22T00:00:00"/>
    <n v="468.84"/>
    <x v="1"/>
  </r>
  <r>
    <s v="CUST39"/>
    <s v="Mary Wilson"/>
    <x v="4"/>
    <x v="3"/>
    <n v="773.09"/>
    <n v="13"/>
    <n v="773.09"/>
    <n v="0.15"/>
    <d v="2024-05-22T00:00:00"/>
    <n v="229.99"/>
    <x v="1"/>
  </r>
  <r>
    <s v="CUST40"/>
    <s v="Emma Wilson"/>
    <x v="1"/>
    <x v="0"/>
    <n v="580.42999999999995"/>
    <n v="19"/>
    <n v="580.42999999999995"/>
    <n v="0.15"/>
    <d v="2024-05-23T00:00:00"/>
    <n v="197.35"/>
    <x v="1"/>
  </r>
  <r>
    <s v="CUST41"/>
    <s v="David Smith"/>
    <x v="2"/>
    <x v="0"/>
    <n v="1151.21"/>
    <n v="15"/>
    <n v="1151.21"/>
    <n v="0.1"/>
    <d v="2024-06-02T00:00:00"/>
    <n v="414.44"/>
    <x v="2"/>
  </r>
  <r>
    <s v="CUST42"/>
    <s v="James Wilson"/>
    <x v="4"/>
    <x v="4"/>
    <n v="1025.98"/>
    <n v="5"/>
    <n v="1025.98"/>
    <n v="0.2"/>
    <d v="2024-06-04T00:00:00"/>
    <n v="369.35"/>
    <x v="2"/>
  </r>
  <r>
    <s v="CUST43"/>
    <s v="David Davis"/>
    <x v="1"/>
    <x v="4"/>
    <n v="556.41999999999996"/>
    <n v="11"/>
    <n v="556.41999999999996"/>
    <n v="0.15"/>
    <d v="2024-06-04T00:00:00"/>
    <n v="212.83"/>
    <x v="2"/>
  </r>
  <r>
    <s v="CUST44"/>
    <s v="James Wilson"/>
    <x v="4"/>
    <x v="0"/>
    <n v="840.85"/>
    <n v="19"/>
    <n v="840.85"/>
    <n v="0.1"/>
    <d v="2024-06-05T00:00:00"/>
    <n v="302.70999999999998"/>
    <x v="2"/>
  </r>
  <r>
    <s v="CUST45"/>
    <s v="Emma Wilson"/>
    <x v="3"/>
    <x v="3"/>
    <n v="1227.25"/>
    <n v="12"/>
    <n v="1227.25"/>
    <n v="0.15"/>
    <d v="2024-06-05T00:00:00"/>
    <n v="365.11"/>
    <x v="2"/>
  </r>
  <r>
    <s v="CUST46"/>
    <s v="Linda Davis"/>
    <x v="4"/>
    <x v="2"/>
    <n v="856.7"/>
    <n v="2"/>
    <n v="856.7"/>
    <n v="0"/>
    <d v="2024-06-06T00:00:00"/>
    <n v="214.18"/>
    <x v="2"/>
  </r>
  <r>
    <s v="CUST47"/>
    <s v="David Davis"/>
    <x v="4"/>
    <x v="4"/>
    <n v="1225.42"/>
    <n v="8"/>
    <n v="1225.42"/>
    <n v="0.15"/>
    <d v="2024-06-06T00:00:00"/>
    <n v="468.72"/>
    <x v="2"/>
  </r>
  <r>
    <s v="CUST48"/>
    <s v="Mary Davis"/>
    <x v="3"/>
    <x v="4"/>
    <n v="1001.57"/>
    <n v="12"/>
    <n v="1001.57"/>
    <n v="0"/>
    <d v="2024-06-07T00:00:00"/>
    <n v="450.71"/>
    <x v="2"/>
  </r>
  <r>
    <s v="CUST49"/>
    <s v="Michael Anderson"/>
    <x v="1"/>
    <x v="3"/>
    <n v="1186.8499999999999"/>
    <n v="19"/>
    <n v="1186.8499999999999"/>
    <n v="0.2"/>
    <d v="2024-06-08T00:00:00"/>
    <n v="332.32"/>
    <x v="2"/>
  </r>
  <r>
    <s v="CUST50"/>
    <s v="John Brown"/>
    <x v="2"/>
    <x v="2"/>
    <n v="775.45"/>
    <n v="6"/>
    <n v="775.45"/>
    <n v="0.1"/>
    <d v="2024-06-14T00:00:00"/>
    <n v="174.48"/>
    <x v="2"/>
  </r>
  <r>
    <s v="CUST51"/>
    <s v="Linda Jackson"/>
    <x v="2"/>
    <x v="2"/>
    <n v="1021.47"/>
    <n v="6"/>
    <n v="1021.47"/>
    <n v="0.05"/>
    <d v="2024-06-18T00:00:00"/>
    <n v="242.6"/>
    <x v="2"/>
  </r>
  <r>
    <s v="CUST52"/>
    <s v="James Wilson"/>
    <x v="2"/>
    <x v="1"/>
    <n v="1226.6199999999999"/>
    <n v="7"/>
    <n v="1226.6199999999999"/>
    <n v="0.1"/>
    <d v="2024-06-20T00:00:00"/>
    <n v="551.98"/>
    <x v="2"/>
  </r>
  <r>
    <s v="CUST53"/>
    <s v="Sarah Davis"/>
    <x v="2"/>
    <x v="3"/>
    <n v="1086.93"/>
    <n v="2"/>
    <n v="1086.93"/>
    <n v="0"/>
    <d v="2024-06-21T00:00:00"/>
    <n v="380.43"/>
    <x v="2"/>
  </r>
  <r>
    <s v="CUST54"/>
    <s v="Lisa Davis"/>
    <x v="0"/>
    <x v="0"/>
    <n v="942.9"/>
    <n v="18"/>
    <n v="942.9"/>
    <n v="0.1"/>
    <d v="2024-06-23T00:00:00"/>
    <n v="339.44"/>
    <x v="2"/>
  </r>
  <r>
    <s v="CUST55"/>
    <s v="Emma Davis"/>
    <x v="3"/>
    <x v="2"/>
    <n v="818.8"/>
    <n v="15"/>
    <n v="818.8"/>
    <n v="0.15"/>
    <d v="2024-06-25T00:00:00"/>
    <n v="173.99"/>
    <x v="2"/>
  </r>
  <r>
    <s v="CUST56"/>
    <s v="Robert Anderson"/>
    <x v="2"/>
    <x v="3"/>
    <n v="919.04"/>
    <n v="10"/>
    <n v="919.04"/>
    <n v="0.2"/>
    <d v="2024-06-25T00:00:00"/>
    <n v="257.33"/>
    <x v="2"/>
  </r>
  <r>
    <s v="CUST57"/>
    <s v="Emma Taylor"/>
    <x v="4"/>
    <x v="0"/>
    <n v="973.26"/>
    <n v="11"/>
    <n v="973.26"/>
    <n v="0"/>
    <d v="2024-06-27T00:00:00"/>
    <n v="389.3"/>
    <x v="2"/>
  </r>
  <r>
    <s v="CUST58"/>
    <s v="Sarah Davis"/>
    <x v="3"/>
    <x v="2"/>
    <n v="741.61"/>
    <n v="1"/>
    <n v="741.61"/>
    <n v="0.2"/>
    <d v="2024-06-28T00:00:00"/>
    <n v="148.32"/>
    <x v="2"/>
  </r>
  <r>
    <s v="CUST59"/>
    <s v="Emma Davis"/>
    <x v="3"/>
    <x v="0"/>
    <n v="1248.82"/>
    <n v="2"/>
    <n v="1248.82"/>
    <n v="0.1"/>
    <d v="2024-06-30T00:00:00"/>
    <n v="449.58"/>
    <x v="2"/>
  </r>
  <r>
    <s v="CUST60"/>
    <s v="Mary Wilson"/>
    <x v="0"/>
    <x v="1"/>
    <n v="1360.36"/>
    <n v="17"/>
    <n v="1360.36"/>
    <n v="0"/>
    <d v="2024-06-30T00:00:00"/>
    <n v="680.18"/>
    <x v="2"/>
  </r>
  <r>
    <s v="CUST61"/>
    <s v="Mary Davis"/>
    <x v="1"/>
    <x v="0"/>
    <n v="1383.3"/>
    <n v="8"/>
    <n v="1383.3"/>
    <n v="0.1"/>
    <d v="2024-07-05T00:00:00"/>
    <n v="497.99"/>
    <x v="3"/>
  </r>
  <r>
    <s v="CUST62"/>
    <s v="David Brown"/>
    <x v="4"/>
    <x v="4"/>
    <n v="488.99"/>
    <n v="9"/>
    <n v="488.99"/>
    <n v="0"/>
    <d v="2024-07-06T00:00:00"/>
    <n v="220.05"/>
    <x v="3"/>
  </r>
  <r>
    <s v="CUST63"/>
    <s v="Mary Davis"/>
    <x v="1"/>
    <x v="3"/>
    <n v="933.71"/>
    <n v="17"/>
    <n v="933.71"/>
    <n v="0.1"/>
    <d v="2024-07-08T00:00:00"/>
    <n v="294.12"/>
    <x v="3"/>
  </r>
  <r>
    <s v="CUST64"/>
    <s v="James Davis"/>
    <x v="0"/>
    <x v="2"/>
    <n v="1005.53"/>
    <n v="17"/>
    <n v="1005.53"/>
    <n v="0.2"/>
    <d v="2024-07-08T00:00:00"/>
    <n v="201.11"/>
    <x v="3"/>
  </r>
  <r>
    <s v="CUST65"/>
    <s v="Emma Wilson"/>
    <x v="2"/>
    <x v="2"/>
    <n v="1100.0999999999999"/>
    <n v="5"/>
    <n v="1100.0999999999999"/>
    <n v="0.05"/>
    <d v="2024-07-09T00:00:00"/>
    <n v="261.27"/>
    <x v="3"/>
  </r>
  <r>
    <s v="CUST66"/>
    <s v="James Wilson"/>
    <x v="3"/>
    <x v="3"/>
    <n v="1034.7"/>
    <n v="15"/>
    <n v="1034.7"/>
    <n v="0.15"/>
    <d v="2024-07-14T00:00:00"/>
    <n v="307.82"/>
    <x v="3"/>
  </r>
  <r>
    <s v="CUST67"/>
    <s v="Mary Davis"/>
    <x v="2"/>
    <x v="0"/>
    <n v="876.44"/>
    <n v="12"/>
    <n v="876.44"/>
    <n v="0.05"/>
    <d v="2024-07-15T00:00:00"/>
    <n v="333.05"/>
    <x v="3"/>
  </r>
  <r>
    <s v="CUST68"/>
    <s v="David Brown"/>
    <x v="0"/>
    <x v="3"/>
    <n v="1371.34"/>
    <n v="5"/>
    <n v="1371.34"/>
    <n v="0.05"/>
    <d v="2024-07-15T00:00:00"/>
    <n v="455.97"/>
    <x v="3"/>
  </r>
  <r>
    <s v="CUST69"/>
    <s v="Mary Jackson"/>
    <x v="3"/>
    <x v="2"/>
    <n v="1020.26"/>
    <n v="11"/>
    <n v="1020.26"/>
    <n v="0.05"/>
    <d v="2024-07-21T00:00:00"/>
    <n v="242.31"/>
    <x v="3"/>
  </r>
  <r>
    <s v="CUST70"/>
    <s v="James Davis"/>
    <x v="4"/>
    <x v="4"/>
    <n v="804.81"/>
    <n v="1"/>
    <n v="804.81"/>
    <n v="0.05"/>
    <d v="2024-07-29T00:00:00"/>
    <n v="344.06"/>
    <x v="3"/>
  </r>
  <r>
    <s v="CUST71"/>
    <s v="David Brown"/>
    <x v="4"/>
    <x v="2"/>
    <n v="608.66"/>
    <n v="1"/>
    <n v="608.66"/>
    <n v="0.05"/>
    <d v="2024-07-30T00:00:00"/>
    <n v="144.56"/>
    <x v="3"/>
  </r>
  <r>
    <s v="CUST72"/>
    <s v="Linda Moore"/>
    <x v="2"/>
    <x v="4"/>
    <n v="981.2"/>
    <n v="19"/>
    <n v="981.2"/>
    <n v="0"/>
    <d v="2024-07-31T00:00:00"/>
    <n v="441.54"/>
    <x v="3"/>
  </r>
  <r>
    <s v="CUST73"/>
    <s v="David Brown"/>
    <x v="1"/>
    <x v="2"/>
    <n v="539.77"/>
    <n v="10"/>
    <n v="539.77"/>
    <n v="0.15"/>
    <d v="2024-08-05T00:00:00"/>
    <n v="114.7"/>
    <x v="4"/>
  </r>
  <r>
    <s v="CUST74"/>
    <s v="David Anderson"/>
    <x v="2"/>
    <x v="0"/>
    <n v="804.45"/>
    <n v="5"/>
    <n v="804.45"/>
    <n v="0.2"/>
    <d v="2024-08-05T00:00:00"/>
    <n v="257.42"/>
    <x v="4"/>
  </r>
  <r>
    <s v="CUST75"/>
    <s v="Emma Davis"/>
    <x v="0"/>
    <x v="2"/>
    <n v="1526.6"/>
    <n v="13"/>
    <n v="1526.6"/>
    <n v="0.2"/>
    <d v="2024-08-08T00:00:00"/>
    <n v="305.32"/>
    <x v="4"/>
  </r>
  <r>
    <s v="CUST76"/>
    <s v="Linda Wilson"/>
    <x v="0"/>
    <x v="2"/>
    <n v="1215.26"/>
    <n v="5"/>
    <n v="1215.26"/>
    <n v="0.15"/>
    <d v="2024-08-09T00:00:00"/>
    <n v="258.24"/>
    <x v="4"/>
  </r>
  <r>
    <s v="CUST77"/>
    <s v="Linda Taylor"/>
    <x v="4"/>
    <x v="3"/>
    <n v="1261.3399999999999"/>
    <n v="3"/>
    <n v="1261.3399999999999"/>
    <n v="0"/>
    <d v="2024-08-15T00:00:00"/>
    <n v="441.47"/>
    <x v="4"/>
  </r>
  <r>
    <s v="CUST78"/>
    <s v="Lisa Thomas"/>
    <x v="3"/>
    <x v="3"/>
    <n v="518.07000000000005"/>
    <n v="7"/>
    <n v="518.07000000000005"/>
    <n v="0.05"/>
    <d v="2024-08-18T00:00:00"/>
    <n v="172.26"/>
    <x v="4"/>
  </r>
  <r>
    <s v="CUST79"/>
    <s v="Linda Wilson"/>
    <x v="0"/>
    <x v="4"/>
    <n v="1111.3399999999999"/>
    <n v="1"/>
    <n v="1111.3399999999999"/>
    <n v="0"/>
    <d v="2024-08-19T00:00:00"/>
    <n v="500.1"/>
    <x v="4"/>
  </r>
  <r>
    <s v="CUST80"/>
    <s v="Mary Davis"/>
    <x v="1"/>
    <x v="1"/>
    <n v="1291.47"/>
    <n v="18"/>
    <n v="1291.47"/>
    <n v="0.1"/>
    <d v="2024-08-22T00:00:00"/>
    <n v="581.16"/>
    <x v="4"/>
  </r>
  <r>
    <s v="CUST81"/>
    <s v="David Brown"/>
    <x v="3"/>
    <x v="0"/>
    <n v="679.71"/>
    <n v="19"/>
    <n v="679.71"/>
    <n v="0"/>
    <d v="2024-08-30T00:00:00"/>
    <n v="271.88"/>
    <x v="4"/>
  </r>
  <r>
    <s v="CUST82"/>
    <s v="Linda Jackson"/>
    <x v="1"/>
    <x v="3"/>
    <n v="1143.69"/>
    <n v="17"/>
    <n v="1143.69"/>
    <n v="0"/>
    <d v="2024-08-30T00:00:00"/>
    <n v="400.29"/>
    <x v="4"/>
  </r>
  <r>
    <s v="CUST83"/>
    <s v="Linda Brown"/>
    <x v="4"/>
    <x v="2"/>
    <n v="790.08"/>
    <n v="7"/>
    <n v="790.08"/>
    <n v="0.1"/>
    <d v="2024-09-01T00:00:00"/>
    <n v="177.77"/>
    <x v="5"/>
  </r>
  <r>
    <s v="CUST84"/>
    <s v="Lisa Davis"/>
    <x v="4"/>
    <x v="0"/>
    <n v="1070.68"/>
    <n v="7"/>
    <n v="1070.68"/>
    <n v="0.05"/>
    <d v="2024-09-01T00:00:00"/>
    <n v="406.86"/>
    <x v="5"/>
  </r>
  <r>
    <s v="CUST85"/>
    <s v="David Thomas"/>
    <x v="0"/>
    <x v="1"/>
    <n v="1168.8900000000001"/>
    <n v="4"/>
    <n v="1168.8900000000001"/>
    <n v="0.1"/>
    <d v="2024-09-09T00:00:00"/>
    <n v="526"/>
    <x v="5"/>
  </r>
  <r>
    <s v="CUST86"/>
    <s v="James Davis"/>
    <x v="2"/>
    <x v="2"/>
    <n v="1335.87"/>
    <n v="17"/>
    <n v="1335.87"/>
    <n v="0"/>
    <d v="2024-09-09T00:00:00"/>
    <n v="333.97"/>
    <x v="5"/>
  </r>
  <r>
    <s v="CUST87"/>
    <s v="David Brown"/>
    <x v="1"/>
    <x v="3"/>
    <n v="873.7"/>
    <n v="9"/>
    <n v="873.7"/>
    <n v="0"/>
    <d v="2024-09-11T00:00:00"/>
    <n v="305.8"/>
    <x v="5"/>
  </r>
  <r>
    <s v="CUST88"/>
    <s v="Sarah Davis"/>
    <x v="0"/>
    <x v="4"/>
    <n v="1443.98"/>
    <n v="19"/>
    <n v="1443.98"/>
    <n v="0"/>
    <d v="2024-09-12T00:00:00"/>
    <n v="649.79"/>
    <x v="5"/>
  </r>
  <r>
    <s v="CUST89"/>
    <s v="James Wilson"/>
    <x v="1"/>
    <x v="4"/>
    <n v="1154.33"/>
    <n v="11"/>
    <n v="1154.33"/>
    <n v="0.15"/>
    <d v="2024-09-14T00:00:00"/>
    <n v="441.53"/>
    <x v="5"/>
  </r>
  <r>
    <s v="CUST90"/>
    <s v="Linda Brown"/>
    <x v="2"/>
    <x v="0"/>
    <n v="1264.49"/>
    <n v="16"/>
    <n v="1264.49"/>
    <n v="0.05"/>
    <d v="2024-09-14T00:00:00"/>
    <n v="480.51"/>
    <x v="5"/>
  </r>
  <r>
    <s v="CUST91"/>
    <s v="Emma Taylor"/>
    <x v="0"/>
    <x v="3"/>
    <n v="1101.55"/>
    <n v="4"/>
    <n v="1101.55"/>
    <n v="0.1"/>
    <d v="2024-09-16T00:00:00"/>
    <n v="346.99"/>
    <x v="5"/>
  </r>
  <r>
    <s v="CUST92"/>
    <s v="Robert Anderson"/>
    <x v="2"/>
    <x v="3"/>
    <n v="727.73"/>
    <n v="1"/>
    <n v="727.73"/>
    <n v="0.1"/>
    <d v="2024-09-17T00:00:00"/>
    <n v="229.23"/>
    <x v="5"/>
  </r>
  <r>
    <s v="CUST93"/>
    <s v="Emma Davis"/>
    <x v="1"/>
    <x v="4"/>
    <n v="875.41"/>
    <n v="13"/>
    <n v="875.41"/>
    <n v="0.15"/>
    <d v="2024-09-17T00:00:00"/>
    <n v="334.84"/>
    <x v="5"/>
  </r>
  <r>
    <s v="CUST94"/>
    <s v="James Wilson"/>
    <x v="0"/>
    <x v="2"/>
    <n v="1158.94"/>
    <n v="19"/>
    <n v="1158.94"/>
    <n v="0.2"/>
    <d v="2024-09-18T00:00:00"/>
    <n v="231.79"/>
    <x v="5"/>
  </r>
  <r>
    <s v="CUST95"/>
    <s v="Mary Jackson"/>
    <x v="2"/>
    <x v="0"/>
    <n v="966.3"/>
    <n v="2"/>
    <n v="966.3"/>
    <n v="0.15"/>
    <d v="2024-09-22T00:00:00"/>
    <n v="328.54"/>
    <x v="5"/>
  </r>
  <r>
    <s v="CUST96"/>
    <s v="James Taylor"/>
    <x v="2"/>
    <x v="0"/>
    <n v="917.48"/>
    <n v="6"/>
    <n v="917.48"/>
    <n v="0"/>
    <d v="2024-09-23T00:00:00"/>
    <n v="366.99"/>
    <x v="5"/>
  </r>
  <r>
    <s v="CUST97"/>
    <s v="Emma Wilson"/>
    <x v="0"/>
    <x v="3"/>
    <n v="1172.97"/>
    <n v="7"/>
    <n v="1172.97"/>
    <n v="0.15"/>
    <d v="2024-09-24T00:00:00"/>
    <n v="348.96"/>
    <x v="5"/>
  </r>
  <r>
    <s v="CUST98"/>
    <s v="James Wilson"/>
    <x v="3"/>
    <x v="1"/>
    <n v="1205.82"/>
    <n v="11"/>
    <n v="1205.82"/>
    <n v="0.1"/>
    <d v="2024-09-24T00:00:00"/>
    <n v="542.62"/>
    <x v="5"/>
  </r>
  <r>
    <s v="CUST99"/>
    <s v="Sarah Davis"/>
    <x v="0"/>
    <x v="4"/>
    <n v="826.93"/>
    <n v="10"/>
    <n v="826.93"/>
    <n v="0.2"/>
    <d v="2024-09-29T00:00:00"/>
    <n v="297.69"/>
    <x v="5"/>
  </r>
  <r>
    <s v="CUST100"/>
    <s v="James Wilson"/>
    <x v="4"/>
    <x v="1"/>
    <n v="902.19"/>
    <n v="12"/>
    <n v="902.19"/>
    <n v="0"/>
    <d v="2024-09-29T00:00:00"/>
    <n v="451.1"/>
    <x v="5"/>
  </r>
  <r>
    <s v="CUST101"/>
    <s v="Emma Davis"/>
    <x v="3"/>
    <x v="0"/>
    <n v="585.97"/>
    <n v="17"/>
    <n v="585.97"/>
    <n v="0.1"/>
    <d v="2024-09-30T00:00:00"/>
    <n v="210.95"/>
    <x v="5"/>
  </r>
  <r>
    <s v="CUST102"/>
    <s v="Michael Anderson"/>
    <x v="3"/>
    <x v="1"/>
    <n v="990.19"/>
    <n v="8"/>
    <n v="990.19"/>
    <n v="0.1"/>
    <d v="2024-09-30T00:00:00"/>
    <n v="445.59"/>
    <x v="5"/>
  </r>
  <r>
    <s v="CUST103"/>
    <s v="David Davis"/>
    <x v="4"/>
    <x v="2"/>
    <n v="1014.09"/>
    <n v="13"/>
    <n v="1014.09"/>
    <n v="0.2"/>
    <d v="2024-10-02T00:00:00"/>
    <n v="202.82"/>
    <x v="6"/>
  </r>
  <r>
    <s v="CUST104"/>
    <s v="Lisa Davis"/>
    <x v="3"/>
    <x v="2"/>
    <n v="925.29"/>
    <n v="17"/>
    <n v="925.29"/>
    <n v="0"/>
    <d v="2024-10-05T00:00:00"/>
    <n v="231.32"/>
    <x v="6"/>
  </r>
  <r>
    <s v="CUST105"/>
    <s v="Mary Jackson"/>
    <x v="1"/>
    <x v="3"/>
    <n v="1286.54"/>
    <n v="8"/>
    <n v="1286.54"/>
    <n v="0"/>
    <d v="2024-10-10T00:00:00"/>
    <n v="450.29"/>
    <x v="6"/>
  </r>
  <r>
    <s v="CUST106"/>
    <s v="Sarah Davis"/>
    <x v="2"/>
    <x v="0"/>
    <n v="961.62"/>
    <n v="8"/>
    <n v="961.62"/>
    <n v="0.2"/>
    <d v="2024-10-12T00:00:00"/>
    <n v="307.72000000000003"/>
    <x v="6"/>
  </r>
  <r>
    <s v="CUST107"/>
    <s v="James Wilson"/>
    <x v="1"/>
    <x v="0"/>
    <n v="1081.1400000000001"/>
    <n v="19"/>
    <n v="1081.1400000000001"/>
    <n v="0.15"/>
    <d v="2024-10-12T00:00:00"/>
    <n v="367.59"/>
    <x v="6"/>
  </r>
  <r>
    <s v="CUST108"/>
    <s v="James Wilson"/>
    <x v="0"/>
    <x v="1"/>
    <n v="1923.66"/>
    <n v="9"/>
    <n v="1923.66"/>
    <n v="0.2"/>
    <d v="2024-10-15T00:00:00"/>
    <n v="769.46"/>
    <x v="6"/>
  </r>
  <r>
    <s v="CUST109"/>
    <s v="Emma Taylor"/>
    <x v="4"/>
    <x v="1"/>
    <n v="728.71"/>
    <n v="14"/>
    <n v="728.71"/>
    <n v="0.1"/>
    <d v="2024-10-16T00:00:00"/>
    <n v="327.92"/>
    <x v="6"/>
  </r>
  <r>
    <s v="CUST110"/>
    <s v="Linda Jackson"/>
    <x v="4"/>
    <x v="1"/>
    <n v="1301.8900000000001"/>
    <n v="7"/>
    <n v="1301.8900000000001"/>
    <n v="0.15"/>
    <d v="2024-10-16T00:00:00"/>
    <n v="553.29999999999995"/>
    <x v="6"/>
  </r>
  <r>
    <s v="CUST111"/>
    <s v="Emma Taylor"/>
    <x v="1"/>
    <x v="0"/>
    <n v="980.18"/>
    <n v="16"/>
    <n v="980.18"/>
    <n v="0.1"/>
    <d v="2024-10-17T00:00:00"/>
    <n v="352.86"/>
    <x v="6"/>
  </r>
  <r>
    <s v="CUST112"/>
    <s v="James Wilson"/>
    <x v="0"/>
    <x v="1"/>
    <n v="697.57"/>
    <n v="17"/>
    <n v="697.57"/>
    <n v="0.1"/>
    <d v="2024-10-19T00:00:00"/>
    <n v="313.91000000000003"/>
    <x v="6"/>
  </r>
  <r>
    <s v="CUST113"/>
    <s v="David Anderson"/>
    <x v="0"/>
    <x v="3"/>
    <n v="1193.6099999999999"/>
    <n v="1"/>
    <n v="1193.6099999999999"/>
    <n v="0.15"/>
    <d v="2024-10-19T00:00:00"/>
    <n v="355.1"/>
    <x v="6"/>
  </r>
  <r>
    <s v="CUST114"/>
    <s v="Emma Davis"/>
    <x v="2"/>
    <x v="2"/>
    <n v="771.02"/>
    <n v="1"/>
    <n v="771.02"/>
    <n v="0"/>
    <d v="2024-10-20T00:00:00"/>
    <n v="192.76"/>
    <x v="6"/>
  </r>
  <r>
    <s v="CUST115"/>
    <s v="Linda Moore"/>
    <x v="3"/>
    <x v="1"/>
    <n v="661.09"/>
    <n v="1"/>
    <n v="661.09"/>
    <n v="0.2"/>
    <d v="2024-10-28T00:00:00"/>
    <n v="264.44"/>
    <x v="6"/>
  </r>
  <r>
    <s v="CUST116"/>
    <s v="David Brown"/>
    <x v="0"/>
    <x v="2"/>
    <n v="688.83"/>
    <n v="15"/>
    <n v="688.83"/>
    <n v="0"/>
    <d v="2024-10-30T00:00:00"/>
    <n v="172.21"/>
    <x v="6"/>
  </r>
  <r>
    <s v="CUST117"/>
    <s v="Linda Wilson"/>
    <x v="4"/>
    <x v="0"/>
    <n v="1249.0999999999999"/>
    <n v="4"/>
    <n v="1249.0999999999999"/>
    <n v="0.05"/>
    <d v="2024-11-01T00:00:00"/>
    <n v="474.66"/>
    <x v="7"/>
  </r>
  <r>
    <s v="CUST118"/>
    <s v="James Wilson"/>
    <x v="1"/>
    <x v="4"/>
    <n v="1014.22"/>
    <n v="14"/>
    <n v="1014.22"/>
    <n v="0.05"/>
    <d v="2024-11-03T00:00:00"/>
    <n v="433.58"/>
    <x v="7"/>
  </r>
  <r>
    <s v="CUST119"/>
    <s v="Lisa Davis"/>
    <x v="1"/>
    <x v="0"/>
    <n v="1010.58"/>
    <n v="2"/>
    <n v="1010.58"/>
    <n v="0.15"/>
    <d v="2024-11-09T00:00:00"/>
    <n v="343.6"/>
    <x v="7"/>
  </r>
  <r>
    <s v="CUST120"/>
    <s v="Mary Wilson"/>
    <x v="3"/>
    <x v="3"/>
    <n v="957.29"/>
    <n v="4"/>
    <n v="957.29"/>
    <n v="0.05"/>
    <d v="2024-11-09T00:00:00"/>
    <n v="318.3"/>
    <x v="7"/>
  </r>
  <r>
    <s v="CUST121"/>
    <s v="Lisa Thomas"/>
    <x v="3"/>
    <x v="3"/>
    <n v="1077.92"/>
    <n v="3"/>
    <n v="1077.92"/>
    <n v="0.05"/>
    <d v="2024-11-12T00:00:00"/>
    <n v="358.41"/>
    <x v="7"/>
  </r>
  <r>
    <s v="CUST122"/>
    <s v="Linda Brown"/>
    <x v="2"/>
    <x v="1"/>
    <n v="1163.01"/>
    <n v="5"/>
    <n v="1163.01"/>
    <n v="0"/>
    <d v="2024-11-15T00:00:00"/>
    <n v="581.5"/>
    <x v="7"/>
  </r>
  <r>
    <s v="CUST123"/>
    <s v="Lisa Thomas"/>
    <x v="1"/>
    <x v="4"/>
    <n v="1014.56"/>
    <n v="10"/>
    <n v="1014.56"/>
    <n v="0.1"/>
    <d v="2024-11-16T00:00:00"/>
    <n v="410.9"/>
    <x v="7"/>
  </r>
  <r>
    <s v="CUST124"/>
    <s v="James Taylor"/>
    <x v="2"/>
    <x v="2"/>
    <n v="718.04"/>
    <n v="14"/>
    <n v="718.04"/>
    <n v="0"/>
    <d v="2024-11-17T00:00:00"/>
    <n v="179.51"/>
    <x v="7"/>
  </r>
  <r>
    <s v="CUST125"/>
    <s v="James Taylor"/>
    <x v="4"/>
    <x v="1"/>
    <n v="1277.8499999999999"/>
    <n v="18"/>
    <n v="1277.8499999999999"/>
    <n v="0.2"/>
    <d v="2024-11-17T00:00:00"/>
    <n v="511.14"/>
    <x v="7"/>
  </r>
  <r>
    <s v="CUST126"/>
    <s v="James Wilson"/>
    <x v="3"/>
    <x v="2"/>
    <n v="706.73"/>
    <n v="1"/>
    <n v="706.73"/>
    <n v="0.15"/>
    <d v="2024-11-17T00:00:00"/>
    <n v="150.18"/>
    <x v="7"/>
  </r>
  <r>
    <s v="CUST127"/>
    <s v="Linda Brown"/>
    <x v="1"/>
    <x v="2"/>
    <n v="1410.59"/>
    <n v="15"/>
    <n v="1410.59"/>
    <n v="0"/>
    <d v="2024-11-19T00:00:00"/>
    <n v="352.65"/>
    <x v="7"/>
  </r>
  <r>
    <s v="CUST128"/>
    <s v="Emma Wilson"/>
    <x v="2"/>
    <x v="3"/>
    <n v="1350.33"/>
    <n v="10"/>
    <n v="1350.33"/>
    <n v="0"/>
    <d v="2024-11-19T00:00:00"/>
    <n v="472.62"/>
    <x v="7"/>
  </r>
  <r>
    <s v="CUST129"/>
    <s v="Lisa Thomas"/>
    <x v="1"/>
    <x v="2"/>
    <n v="919.18"/>
    <n v="4"/>
    <n v="919.18"/>
    <n v="0.15"/>
    <d v="2024-11-19T00:00:00"/>
    <n v="195.33"/>
    <x v="7"/>
  </r>
  <r>
    <s v="CUST130"/>
    <s v="James Wilson"/>
    <x v="0"/>
    <x v="2"/>
    <n v="258.51"/>
    <n v="19"/>
    <n v="258.51"/>
    <n v="0"/>
    <d v="2024-11-20T00:00:00"/>
    <n v="64.63"/>
    <x v="7"/>
  </r>
  <r>
    <s v="CUST131"/>
    <s v="Emma Wilson"/>
    <x v="1"/>
    <x v="0"/>
    <n v="1213.48"/>
    <n v="5"/>
    <n v="1213.48"/>
    <n v="0.05"/>
    <d v="2024-11-20T00:00:00"/>
    <n v="461.12"/>
    <x v="7"/>
  </r>
  <r>
    <s v="CUST132"/>
    <s v="Emma Davis"/>
    <x v="4"/>
    <x v="0"/>
    <n v="1150.28"/>
    <n v="8"/>
    <n v="1150.28"/>
    <n v="0.05"/>
    <d v="2024-11-26T00:00:00"/>
    <n v="437.11"/>
    <x v="7"/>
  </r>
  <r>
    <s v="CUST133"/>
    <s v="David Anderson"/>
    <x v="2"/>
    <x v="3"/>
    <n v="853.86"/>
    <n v="8"/>
    <n v="853.86"/>
    <n v="0.1"/>
    <d v="2024-11-26T00:00:00"/>
    <n v="268.97000000000003"/>
    <x v="7"/>
  </r>
  <r>
    <s v="CUST134"/>
    <s v="Lisa Thomas"/>
    <x v="2"/>
    <x v="2"/>
    <n v="1061.04"/>
    <n v="1"/>
    <n v="1061.04"/>
    <n v="0"/>
    <d v="2024-11-28T00:00:00"/>
    <n v="265.26"/>
    <x v="7"/>
  </r>
  <r>
    <s v="CUST135"/>
    <s v="Sarah Anderson"/>
    <x v="0"/>
    <x v="2"/>
    <n v="894.55"/>
    <n v="19"/>
    <n v="894.55"/>
    <n v="0.2"/>
    <d v="2024-11-29T00:00:00"/>
    <n v="178.91"/>
    <x v="7"/>
  </r>
  <r>
    <s v="CUST136"/>
    <s v="Emma Davis"/>
    <x v="3"/>
    <x v="4"/>
    <n v="833.91"/>
    <n v="3"/>
    <n v="833.91"/>
    <n v="0.05"/>
    <d v="2024-11-30T00:00:00"/>
    <n v="356.5"/>
    <x v="7"/>
  </r>
  <r>
    <s v="CUST137"/>
    <s v="David Anderson"/>
    <x v="0"/>
    <x v="3"/>
    <n v="820.19"/>
    <n v="4"/>
    <n v="820.19"/>
    <n v="0.2"/>
    <d v="2024-12-04T00:00:00"/>
    <n v="229.65"/>
    <x v="8"/>
  </r>
  <r>
    <s v="CUST138"/>
    <s v="Emma Davis"/>
    <x v="4"/>
    <x v="2"/>
    <n v="511.74"/>
    <n v="8"/>
    <n v="511.74"/>
    <n v="0.05"/>
    <d v="2024-12-05T00:00:00"/>
    <n v="121.54"/>
    <x v="8"/>
  </r>
  <r>
    <s v="CUST139"/>
    <s v="Emma Wilson"/>
    <x v="2"/>
    <x v="3"/>
    <n v="806.03"/>
    <n v="19"/>
    <n v="806.03"/>
    <n v="0.05"/>
    <d v="2024-12-12T00:00:00"/>
    <n v="268"/>
    <x v="8"/>
  </r>
  <r>
    <s v="CUST140"/>
    <s v="Michael Anderson"/>
    <x v="4"/>
    <x v="3"/>
    <n v="1432.47"/>
    <n v="16"/>
    <n v="1432.47"/>
    <n v="0.15"/>
    <d v="2024-12-14T00:00:00"/>
    <n v="426.16"/>
    <x v="8"/>
  </r>
  <r>
    <s v="CUST141"/>
    <s v="Linda Wilson"/>
    <x v="4"/>
    <x v="2"/>
    <n v="1488.58"/>
    <n v="10"/>
    <n v="1488.58"/>
    <n v="0.15"/>
    <d v="2024-12-14T00:00:00"/>
    <n v="316.32"/>
    <x v="8"/>
  </r>
  <r>
    <s v="CUST142"/>
    <s v="Emma Taylor"/>
    <x v="1"/>
    <x v="0"/>
    <n v="1231.26"/>
    <n v="9"/>
    <n v="1231.26"/>
    <n v="0"/>
    <d v="2024-12-20T00:00:00"/>
    <n v="492.5"/>
    <x v="8"/>
  </r>
  <r>
    <s v="CUST143"/>
    <s v="Sarah Anderson"/>
    <x v="0"/>
    <x v="2"/>
    <n v="1161.67"/>
    <n v="19"/>
    <n v="1161.67"/>
    <n v="0.2"/>
    <d v="2024-12-21T00:00:00"/>
    <n v="232.33"/>
    <x v="8"/>
  </r>
  <r>
    <s v="CUST144"/>
    <s v="Lisa Thomas"/>
    <x v="4"/>
    <x v="4"/>
    <n v="388.23"/>
    <n v="16"/>
    <n v="388.23"/>
    <n v="0.05"/>
    <d v="2024-12-24T00:00:00"/>
    <n v="165.97"/>
    <x v="8"/>
  </r>
  <r>
    <s v="CUST145"/>
    <s v="Mary Davis"/>
    <x v="3"/>
    <x v="1"/>
    <n v="1589.42"/>
    <n v="6"/>
    <n v="1589.42"/>
    <n v="0.15"/>
    <d v="2024-12-25T00:00:00"/>
    <n v="675.5"/>
    <x v="8"/>
  </r>
  <r>
    <s v="CUST146"/>
    <s v="David Anderson"/>
    <x v="3"/>
    <x v="1"/>
    <n v="336.66"/>
    <n v="13"/>
    <n v="336.66"/>
    <n v="0.2"/>
    <d v="2024-12-25T00:00:00"/>
    <n v="134.66"/>
    <x v="8"/>
  </r>
  <r>
    <s v="CUST147"/>
    <s v="James Wilson"/>
    <x v="0"/>
    <x v="0"/>
    <n v="1353.79"/>
    <n v="14"/>
    <n v="1353.79"/>
    <n v="0.1"/>
    <d v="2024-12-30T00:00:00"/>
    <n v="487.36"/>
    <x v="8"/>
  </r>
  <r>
    <s v="CUST148"/>
    <s v="Linda Moore"/>
    <x v="4"/>
    <x v="1"/>
    <n v="662.61"/>
    <n v="11"/>
    <n v="662.61"/>
    <n v="0.05"/>
    <d v="2025-01-01T00:00:00"/>
    <n v="314.74"/>
    <x v="9"/>
  </r>
  <r>
    <s v="CUST149"/>
    <s v="Lisa Davis"/>
    <x v="3"/>
    <x v="4"/>
    <n v="309.42"/>
    <n v="1"/>
    <n v="309.42"/>
    <n v="0.2"/>
    <d v="2025-01-01T00:00:00"/>
    <n v="111.39"/>
    <x v="9"/>
  </r>
  <r>
    <s v="CUST150"/>
    <s v="Linda Wilson"/>
    <x v="3"/>
    <x v="0"/>
    <n v="884.63"/>
    <n v="18"/>
    <n v="884.63"/>
    <n v="0.1"/>
    <d v="2025-01-02T00:00:00"/>
    <n v="318.47000000000003"/>
    <x v="9"/>
  </r>
  <r>
    <s v="CUST151"/>
    <s v="James Wilson"/>
    <x v="4"/>
    <x v="4"/>
    <n v="745.05"/>
    <n v="10"/>
    <n v="745.05"/>
    <n v="0.1"/>
    <d v="2025-01-03T00:00:00"/>
    <n v="301.75"/>
    <x v="9"/>
  </r>
  <r>
    <s v="CUST152"/>
    <s v="James Taylor"/>
    <x v="2"/>
    <x v="1"/>
    <n v="870.23"/>
    <n v="5"/>
    <n v="870.23"/>
    <n v="0.05"/>
    <d v="2025-01-03T00:00:00"/>
    <n v="413.36"/>
    <x v="9"/>
  </r>
  <r>
    <s v="CUST153"/>
    <s v="Linda Wilson"/>
    <x v="0"/>
    <x v="3"/>
    <n v="862.19"/>
    <n v="18"/>
    <n v="862.19"/>
    <n v="0.05"/>
    <d v="2025-01-06T00:00:00"/>
    <n v="286.68"/>
    <x v="9"/>
  </r>
  <r>
    <s v="CUST154"/>
    <s v="Mary Wilson"/>
    <x v="3"/>
    <x v="1"/>
    <n v="1171.18"/>
    <n v="19"/>
    <n v="1171.18"/>
    <n v="0.05"/>
    <d v="2025-01-10T00:00:00"/>
    <n v="556.30999999999995"/>
    <x v="9"/>
  </r>
  <r>
    <s v="CUST155"/>
    <s v="Robert Anderson"/>
    <x v="2"/>
    <x v="3"/>
    <n v="1054.56"/>
    <n v="11"/>
    <n v="1054.56"/>
    <n v="0.1"/>
    <d v="2025-01-12T00:00:00"/>
    <n v="332.19"/>
    <x v="9"/>
  </r>
  <r>
    <s v="CUST156"/>
    <s v="James Wilson"/>
    <x v="3"/>
    <x v="2"/>
    <n v="1681.21"/>
    <n v="5"/>
    <n v="1681.21"/>
    <n v="0.2"/>
    <d v="2025-01-13T00:00:00"/>
    <n v="336.24"/>
    <x v="9"/>
  </r>
  <r>
    <s v="CUST157"/>
    <s v="David Thomas"/>
    <x v="0"/>
    <x v="1"/>
    <n v="379.77"/>
    <n v="9"/>
    <n v="379.77"/>
    <n v="0.05"/>
    <d v="2025-01-16T00:00:00"/>
    <n v="180.39"/>
    <x v="9"/>
  </r>
  <r>
    <s v="CUST158"/>
    <s v="Lisa Thomas"/>
    <x v="4"/>
    <x v="1"/>
    <n v="1076.33"/>
    <n v="2"/>
    <n v="1076.33"/>
    <n v="0.1"/>
    <d v="2025-01-17T00:00:00"/>
    <n v="484.35"/>
    <x v="9"/>
  </r>
  <r>
    <s v="CUST159"/>
    <s v="Mary Davis"/>
    <x v="4"/>
    <x v="4"/>
    <n v="1250.71"/>
    <n v="7"/>
    <n v="1250.71"/>
    <n v="0"/>
    <d v="2025-01-17T00:00:00"/>
    <n v="562.82000000000005"/>
    <x v="9"/>
  </r>
  <r>
    <s v="CUST160"/>
    <s v="James Taylor"/>
    <x v="2"/>
    <x v="1"/>
    <n v="1118.3399999999999"/>
    <n v="6"/>
    <n v="1118.3399999999999"/>
    <n v="0.2"/>
    <d v="2025-01-17T00:00:00"/>
    <n v="447.34"/>
    <x v="9"/>
  </r>
  <r>
    <s v="CUST161"/>
    <s v="Linda Taylor"/>
    <x v="3"/>
    <x v="1"/>
    <n v="1622.62"/>
    <n v="12"/>
    <n v="1622.62"/>
    <n v="0.2"/>
    <d v="2025-01-20T00:00:00"/>
    <n v="649.04999999999995"/>
    <x v="9"/>
  </r>
  <r>
    <s v="CUST162"/>
    <s v="Lisa Davis"/>
    <x v="3"/>
    <x v="0"/>
    <n v="640.64"/>
    <n v="11"/>
    <n v="640.64"/>
    <n v="0.2"/>
    <d v="2025-01-21T00:00:00"/>
    <n v="205"/>
    <x v="9"/>
  </r>
  <r>
    <s v="CUST163"/>
    <s v="Sarah Anderson"/>
    <x v="0"/>
    <x v="1"/>
    <n v="585.16"/>
    <n v="17"/>
    <n v="585.16"/>
    <n v="0.1"/>
    <d v="2025-01-27T00:00:00"/>
    <n v="263.32"/>
    <x v="9"/>
  </r>
  <r>
    <s v="CUST164"/>
    <s v="Mary Davis"/>
    <x v="1"/>
    <x v="1"/>
    <n v="1109.98"/>
    <n v="5"/>
    <n v="1109.98"/>
    <n v="0.2"/>
    <d v="2025-02-02T00:00:00"/>
    <n v="443.99"/>
    <x v="10"/>
  </r>
  <r>
    <s v="CUST165"/>
    <s v="Lisa Thomas"/>
    <x v="1"/>
    <x v="0"/>
    <n v="1098.08"/>
    <n v="9"/>
    <n v="1098.08"/>
    <n v="0.1"/>
    <d v="2025-02-04T00:00:00"/>
    <n v="395.31"/>
    <x v="10"/>
  </r>
  <r>
    <s v="CUST166"/>
    <s v="Lisa Davis"/>
    <x v="0"/>
    <x v="4"/>
    <n v="827.25"/>
    <n v="7"/>
    <n v="827.25"/>
    <n v="0.1"/>
    <d v="2025-02-05T00:00:00"/>
    <n v="335.04"/>
    <x v="10"/>
  </r>
  <r>
    <s v="CUST167"/>
    <s v="Linda Wilson"/>
    <x v="4"/>
    <x v="1"/>
    <n v="741.88"/>
    <n v="16"/>
    <n v="741.88"/>
    <n v="0.1"/>
    <d v="2025-02-07T00:00:00"/>
    <n v="333.85"/>
    <x v="10"/>
  </r>
  <r>
    <s v="CUST168"/>
    <s v="James Davis"/>
    <x v="1"/>
    <x v="4"/>
    <n v="1311.26"/>
    <n v="6"/>
    <n v="1311.26"/>
    <n v="0.1"/>
    <d v="2025-02-10T00:00:00"/>
    <n v="531.05999999999995"/>
    <x v="10"/>
  </r>
  <r>
    <s v="CUST169"/>
    <s v="Mary Davis"/>
    <x v="2"/>
    <x v="4"/>
    <n v="573.32000000000005"/>
    <n v="19"/>
    <n v="573.32000000000005"/>
    <n v="0.1"/>
    <d v="2025-02-15T00:00:00"/>
    <n v="232.19"/>
    <x v="10"/>
  </r>
  <r>
    <s v="CUST170"/>
    <s v="James Wilson"/>
    <x v="0"/>
    <x v="2"/>
    <n v="1115.22"/>
    <n v="14"/>
    <n v="1115.22"/>
    <n v="0.2"/>
    <d v="2025-02-17T00:00:00"/>
    <n v="223.04"/>
    <x v="10"/>
  </r>
  <r>
    <s v="CUST171"/>
    <s v="Lisa Thomas"/>
    <x v="3"/>
    <x v="1"/>
    <n v="845.84"/>
    <n v="4"/>
    <n v="845.84"/>
    <n v="0"/>
    <d v="2025-02-19T00:00:00"/>
    <n v="422.92"/>
    <x v="10"/>
  </r>
  <r>
    <s v="CUST172"/>
    <s v="David Brown"/>
    <x v="0"/>
    <x v="2"/>
    <n v="1029.8"/>
    <n v="3"/>
    <n v="1029.8"/>
    <n v="0"/>
    <d v="2025-02-20T00:00:00"/>
    <n v="257.45"/>
    <x v="10"/>
  </r>
  <r>
    <s v="CUST173"/>
    <s v="Mary Davis"/>
    <x v="3"/>
    <x v="0"/>
    <n v="1189.83"/>
    <n v="2"/>
    <n v="1189.83"/>
    <n v="0.2"/>
    <d v="2025-02-21T00:00:00"/>
    <n v="380.75"/>
    <x v="10"/>
  </r>
  <r>
    <s v="CUST174"/>
    <s v="Sarah Anderson"/>
    <x v="2"/>
    <x v="0"/>
    <n v="704.28"/>
    <n v="15"/>
    <n v="704.28"/>
    <n v="0.2"/>
    <d v="2025-02-24T00:00:00"/>
    <n v="225.37"/>
    <x v="10"/>
  </r>
  <r>
    <s v="CUST175"/>
    <s v="Mary Jackson"/>
    <x v="4"/>
    <x v="4"/>
    <n v="1618.22"/>
    <n v="12"/>
    <n v="1618.22"/>
    <n v="0.2"/>
    <d v="2025-02-24T00:00:00"/>
    <n v="582.55999999999995"/>
    <x v="10"/>
  </r>
  <r>
    <s v="CUST176"/>
    <s v="Linda Taylor"/>
    <x v="4"/>
    <x v="0"/>
    <n v="1014.43"/>
    <n v="2"/>
    <n v="1014.43"/>
    <n v="0.15"/>
    <d v="2025-02-25T00:00:00"/>
    <n v="344.91"/>
    <x v="10"/>
  </r>
  <r>
    <s v="CUST177"/>
    <s v="Mary Davis"/>
    <x v="4"/>
    <x v="1"/>
    <n v="826.97"/>
    <n v="18"/>
    <n v="826.97"/>
    <n v="0.2"/>
    <d v="2025-02-27T00:00:00"/>
    <n v="330.79"/>
    <x v="10"/>
  </r>
  <r>
    <s v="CUST178"/>
    <s v="Mary Davis"/>
    <x v="4"/>
    <x v="1"/>
    <n v="1022.23"/>
    <n v="8"/>
    <n v="1022.23"/>
    <n v="0.1"/>
    <d v="2025-03-01T00:00:00"/>
    <n v="460"/>
    <x v="11"/>
  </r>
  <r>
    <s v="CUST179"/>
    <s v="Linda Wilson"/>
    <x v="1"/>
    <x v="0"/>
    <n v="1099.69"/>
    <n v="6"/>
    <n v="1099.69"/>
    <n v="0"/>
    <d v="2025-03-02T00:00:00"/>
    <n v="439.88"/>
    <x v="11"/>
  </r>
  <r>
    <s v="CUST180"/>
    <s v="Sarah Davis"/>
    <x v="3"/>
    <x v="0"/>
    <n v="710.52"/>
    <n v="8"/>
    <n v="710.52"/>
    <n v="0.1"/>
    <d v="2025-03-05T00:00:00"/>
    <n v="255.79"/>
    <x v="11"/>
  </r>
  <r>
    <s v="CUST181"/>
    <s v="Mary Wilson"/>
    <x v="3"/>
    <x v="0"/>
    <n v="499.18"/>
    <n v="15"/>
    <n v="499.18"/>
    <n v="0.2"/>
    <d v="2025-03-08T00:00:00"/>
    <n v="159.74"/>
    <x v="11"/>
  </r>
  <r>
    <s v="CUST182"/>
    <s v="Emma Davis"/>
    <x v="2"/>
    <x v="0"/>
    <n v="1064.19"/>
    <n v="18"/>
    <n v="1064.19"/>
    <n v="0.05"/>
    <d v="2025-03-09T00:00:00"/>
    <n v="404.39"/>
    <x v="11"/>
  </r>
  <r>
    <s v="CUST183"/>
    <s v="Emma Davis"/>
    <x v="1"/>
    <x v="4"/>
    <n v="438.76"/>
    <n v="18"/>
    <n v="438.76"/>
    <n v="0.05"/>
    <d v="2025-03-10T00:00:00"/>
    <n v="187.57"/>
    <x v="11"/>
  </r>
  <r>
    <s v="CUST184"/>
    <s v="David Brown"/>
    <x v="0"/>
    <x v="1"/>
    <n v="864.98"/>
    <n v="2"/>
    <n v="864.98"/>
    <n v="0.05"/>
    <d v="2025-03-11T00:00:00"/>
    <n v="410.87"/>
    <x v="11"/>
  </r>
  <r>
    <s v="CUST185"/>
    <s v="David Brown"/>
    <x v="0"/>
    <x v="3"/>
    <n v="984.93"/>
    <n v="14"/>
    <n v="984.93"/>
    <n v="0.2"/>
    <d v="2025-03-17T00:00:00"/>
    <n v="275.77999999999997"/>
    <x v="11"/>
  </r>
  <r>
    <s v="CUST186"/>
    <s v="David Brown"/>
    <x v="0"/>
    <x v="1"/>
    <n v="1493.49"/>
    <n v="18"/>
    <n v="1493.49"/>
    <n v="0"/>
    <d v="2025-03-18T00:00:00"/>
    <n v="746.74"/>
    <x v="11"/>
  </r>
  <r>
    <s v="CUST187"/>
    <s v="Linda Taylor"/>
    <x v="2"/>
    <x v="1"/>
    <n v="689.43"/>
    <n v="9"/>
    <n v="689.43"/>
    <n v="0.1"/>
    <d v="2025-03-20T00:00:00"/>
    <n v="310.24"/>
    <x v="11"/>
  </r>
  <r>
    <s v="CUST188"/>
    <s v="Mary Wilson"/>
    <x v="2"/>
    <x v="1"/>
    <n v="682.24"/>
    <n v="1"/>
    <n v="682.24"/>
    <n v="0"/>
    <d v="2025-03-22T00:00:00"/>
    <n v="341.12"/>
    <x v="11"/>
  </r>
  <r>
    <s v="CUST189"/>
    <s v="Michael Anderson"/>
    <x v="3"/>
    <x v="2"/>
    <n v="458.54"/>
    <n v="15"/>
    <n v="458.54"/>
    <n v="0.2"/>
    <d v="2025-03-25T00:00:00"/>
    <n v="91.71"/>
    <x v="11"/>
  </r>
  <r>
    <s v="CUST190"/>
    <s v="Michael Anderson"/>
    <x v="2"/>
    <x v="3"/>
    <n v="1184.25"/>
    <n v="11"/>
    <n v="1184.25"/>
    <n v="0.2"/>
    <d v="2025-03-26T00:00:00"/>
    <n v="331.59"/>
    <x v="11"/>
  </r>
  <r>
    <s v="CUST191"/>
    <s v="James Davis"/>
    <x v="2"/>
    <x v="1"/>
    <n v="762.14"/>
    <n v="9"/>
    <n v="762.14"/>
    <n v="0"/>
    <d v="2025-03-27T00:00:00"/>
    <n v="381.07"/>
    <x v="11"/>
  </r>
  <r>
    <s v="CUST192"/>
    <s v="Linda Taylor"/>
    <x v="3"/>
    <x v="0"/>
    <n v="750.71"/>
    <n v="10"/>
    <n v="750.71"/>
    <n v="0.15"/>
    <d v="2025-03-27T00:00:00"/>
    <n v="255.24"/>
    <x v="11"/>
  </r>
  <r>
    <s v="CUST193"/>
    <s v="David Anderson"/>
    <x v="4"/>
    <x v="1"/>
    <n v="1456.94"/>
    <n v="14"/>
    <n v="1456.94"/>
    <n v="0.05"/>
    <d v="2025-03-29T00:00:00"/>
    <n v="692.05"/>
    <x v="11"/>
  </r>
  <r>
    <s v="CUST194"/>
    <s v="Emma Wilson"/>
    <x v="1"/>
    <x v="3"/>
    <n v="1093.3800000000001"/>
    <n v="17"/>
    <n v="1093.3800000000001"/>
    <n v="0.1"/>
    <d v="2025-03-29T00:00:00"/>
    <n v="344.41"/>
    <x v="11"/>
  </r>
  <r>
    <s v="CUST195"/>
    <s v="Sarah Anderson"/>
    <x v="0"/>
    <x v="1"/>
    <n v="934.27"/>
    <n v="8"/>
    <n v="934.27"/>
    <n v="0.15"/>
    <d v="2025-03-30T00:00:00"/>
    <n v="397.06"/>
    <x v="11"/>
  </r>
  <r>
    <s v="CUST196"/>
    <s v="David Thomas"/>
    <x v="4"/>
    <x v="1"/>
    <n v="1465.35"/>
    <n v="8"/>
    <n v="1465.35"/>
    <n v="0.2"/>
    <d v="2025-03-30T00:00:00"/>
    <n v="586.14"/>
    <x v="11"/>
  </r>
  <r>
    <s v="CUST197"/>
    <s v="Robert Anderson"/>
    <x v="2"/>
    <x v="4"/>
    <n v="740.8"/>
    <n v="3"/>
    <n v="740.8"/>
    <n v="0"/>
    <d v="2025-04-02T00:00:00"/>
    <n v="333.36"/>
    <x v="12"/>
  </r>
  <r>
    <s v="CUST198"/>
    <s v="Sarah Anderson"/>
    <x v="0"/>
    <x v="4"/>
    <n v="545.44000000000005"/>
    <n v="17"/>
    <n v="545.44000000000005"/>
    <n v="0"/>
    <d v="2025-04-05T00:00:00"/>
    <n v="245.45"/>
    <x v="12"/>
  </r>
  <r>
    <s v="CUST199"/>
    <s v="David Thomas"/>
    <x v="1"/>
    <x v="0"/>
    <n v="997.61"/>
    <n v="8"/>
    <n v="997.61"/>
    <n v="0.05"/>
    <d v="2025-04-05T00:00:00"/>
    <n v="379.09"/>
    <x v="12"/>
  </r>
  <r>
    <s v="CUST200"/>
    <s v="David Thomas"/>
    <x v="2"/>
    <x v="1"/>
    <n v="928.32"/>
    <n v="2"/>
    <n v="928.32"/>
    <n v="0.05"/>
    <d v="2025-04-07T00:00:00"/>
    <n v="440.95"/>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D70E5-BD44-404E-98D7-C8A1EA3C56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3:G9" firstHeaderRow="1" firstDataRow="1" firstDataCol="1"/>
  <pivotFields count="11">
    <pivotField showAll="0"/>
    <pivotField showAll="0"/>
    <pivotField showAll="0"/>
    <pivotField axis="axisRow" showAll="0">
      <items count="6">
        <item x="0"/>
        <item x="1"/>
        <item x="2"/>
        <item x="3"/>
        <item x="4"/>
        <item t="default"/>
      </items>
    </pivotField>
    <pivotField dataField="1" showAll="0"/>
    <pivotField showAll="0"/>
    <pivotField showAll="0"/>
    <pivotField showAll="0"/>
    <pivotField numFmtId="164" showAll="0"/>
    <pivotField showAll="0"/>
    <pivotField showAll="0">
      <items count="14">
        <item x="0"/>
        <item x="12"/>
        <item x="4"/>
        <item x="8"/>
        <item x="10"/>
        <item x="9"/>
        <item x="3"/>
        <item x="2"/>
        <item x="11"/>
        <item x="1"/>
        <item x="7"/>
        <item x="6"/>
        <item x="5"/>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12">
    <chartFormat chart="7"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3"/>
          </reference>
        </references>
      </pivotArea>
    </chartFormat>
    <chartFormat chart="16" format="12">
      <pivotArea type="data" outline="0" fieldPosition="0">
        <references count="2">
          <reference field="4294967294" count="1" selected="0">
            <x v="0"/>
          </reference>
          <reference field="3" count="1" selected="0">
            <x v="4"/>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1507D-CBA8-4D2C-BD2E-F007C04B15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1:B17" firstHeaderRow="1" firstDataRow="1" firstDataCol="1"/>
  <pivotFields count="11">
    <pivotField showAll="0"/>
    <pivotField showAll="0"/>
    <pivotField axis="axisRow" showAll="0">
      <items count="6">
        <item x="4"/>
        <item x="1"/>
        <item x="3"/>
        <item x="2"/>
        <item x="0"/>
        <item t="default"/>
      </items>
    </pivotField>
    <pivotField showAll="0"/>
    <pivotField dataField="1" showAll="0"/>
    <pivotField showAll="0"/>
    <pivotField showAll="0"/>
    <pivotField showAll="0"/>
    <pivotField numFmtId="164" showAll="0"/>
    <pivotField showAll="0"/>
    <pivotField showAll="0">
      <items count="14">
        <item x="0"/>
        <item x="12"/>
        <item x="4"/>
        <item x="8"/>
        <item x="10"/>
        <item x="9"/>
        <item x="3"/>
        <item x="2"/>
        <item x="11"/>
        <item x="1"/>
        <item x="7"/>
        <item x="6"/>
        <item x="5"/>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BC9844-6FE4-4615-A854-D3C2428F38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7:N38" firstHeaderRow="0" firstDataRow="1" firstDataCol="0"/>
  <pivotFields count="11">
    <pivotField showAll="0"/>
    <pivotField showAll="0"/>
    <pivotField showAll="0"/>
    <pivotField showAll="0"/>
    <pivotField dataField="1" showAll="0"/>
    <pivotField showAll="0"/>
    <pivotField showAll="0"/>
    <pivotField showAll="0"/>
    <pivotField numFmtId="164" showAll="0"/>
    <pivotField dataField="1" showAll="0"/>
    <pivotField showAll="0">
      <items count="14">
        <item x="0"/>
        <item x="12"/>
        <item x="4"/>
        <item x="8"/>
        <item x="10"/>
        <item x="9"/>
        <item x="3"/>
        <item x="2"/>
        <item x="11"/>
        <item x="1"/>
        <item x="7"/>
        <item x="6"/>
        <item x="5"/>
        <item t="default"/>
      </items>
    </pivotField>
  </pivotFields>
  <rowItems count="1">
    <i/>
  </rowItems>
  <colFields count="1">
    <field x="-2"/>
  </colFields>
  <colItems count="2">
    <i>
      <x/>
    </i>
    <i i="1">
      <x v="1"/>
    </i>
  </colItems>
  <dataFields count="2">
    <dataField name="Sum of Sales" fld="4" baseField="0" baseItem="0"/>
    <dataField name="Sum of Profit" fld="9"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F52254-E877-48ED-85CA-512B9E3D8C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0:N21" firstHeaderRow="0" firstDataRow="1" firstDataCol="0"/>
  <pivotFields count="11">
    <pivotField showAll="0"/>
    <pivotField showAll="0"/>
    <pivotField showAll="0"/>
    <pivotField showAll="0"/>
    <pivotField showAll="0"/>
    <pivotField showAll="0"/>
    <pivotField dataField="1" showAll="0"/>
    <pivotField showAll="0"/>
    <pivotField numFmtId="164" showAll="0"/>
    <pivotField dataField="1" showAll="0"/>
    <pivotField showAll="0">
      <items count="14">
        <item x="0"/>
        <item x="12"/>
        <item x="4"/>
        <item x="8"/>
        <item x="10"/>
        <item x="9"/>
        <item x="3"/>
        <item x="2"/>
        <item x="11"/>
        <item x="1"/>
        <item x="7"/>
        <item x="6"/>
        <item x="5"/>
        <item t="default"/>
      </items>
    </pivotField>
  </pivotFields>
  <rowItems count="1">
    <i/>
  </rowItems>
  <colFields count="1">
    <field x="-2"/>
  </colFields>
  <colItems count="2">
    <i>
      <x/>
    </i>
    <i i="1">
      <x v="1"/>
    </i>
  </colItems>
  <dataFields count="2">
    <dataField name="Sum of Total Purchase" fld="6" baseField="0" baseItem="0"/>
    <dataField name="Sum of Profit" fld="9"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CF41A-C004-4A25-BBF5-C2CFB6A01D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3:B67" firstHeaderRow="1" firstDataRow="1" firstDataCol="1"/>
  <pivotFields count="11">
    <pivotField showAll="0"/>
    <pivotField showAll="0"/>
    <pivotField showAll="0"/>
    <pivotField showAll="0"/>
    <pivotField dataField="1" showAll="0"/>
    <pivotField showAll="0"/>
    <pivotField showAll="0"/>
    <pivotField showAll="0"/>
    <pivotField numFmtId="164" showAll="0"/>
    <pivotField showAll="0"/>
    <pivotField axis="axisRow" showAll="0">
      <items count="14">
        <item x="0"/>
        <item x="12"/>
        <item x="4"/>
        <item x="8"/>
        <item x="10"/>
        <item x="9"/>
        <item x="3"/>
        <item x="2"/>
        <item x="11"/>
        <item x="1"/>
        <item x="7"/>
        <item x="6"/>
        <item x="5"/>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239773A-572F-4BFF-9E2B-6E19996733FF}" sourceName="MONTH">
  <pivotTables>
    <pivotTable tabId="15" name="PivotTable2"/>
    <pivotTable tabId="15" name="PivotTable1"/>
    <pivotTable tabId="15" name="PivotTable3"/>
    <pivotTable tabId="15" name="PivotTable4"/>
    <pivotTable tabId="15" name="PivotTable5"/>
  </pivotTables>
  <data>
    <tabular pivotCacheId="1387261860">
      <items count="13">
        <i x="0" s="1"/>
        <i x="12" s="1"/>
        <i x="4" s="1"/>
        <i x="8" s="1"/>
        <i x="10" s="1"/>
        <i x="9" s="1"/>
        <i x="3" s="1"/>
        <i x="2" s="1"/>
        <i x="11" s="1"/>
        <i x="1"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87AAA33-571B-47F7-8229-3EDCA1243EB1}" cache="Slicer_MONTH" caption="MONTH" columnCount="3" style="SlicerStyleLight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0AC9E5-467F-4DA8-B7D4-67AC9F5ECB52}">
  <we:reference id="wa200005502" version="1.0.0.12" store="en-US" storeType="OMEX"/>
  <we:alternateReferences>
    <we:reference id="wa200005502" version="1.0.0.12" store="wa200005502" storeType="OMEX"/>
  </we:alternateReferences>
  <we:properties>
    <we:property name="docId" value="&quot;xUIi0Jf2nXzDh9Z5K2J_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abSelected="1" zoomScale="64" workbookViewId="0">
      <selection activeCell="A18" sqref="A18:A27"/>
    </sheetView>
  </sheetViews>
  <sheetFormatPr defaultColWidth="14.453125" defaultRowHeight="15" customHeight="1"/>
  <cols>
    <col min="1" max="1" width="74.90625" customWidth="1"/>
    <col min="2" max="26" width="8.6328125" customWidth="1"/>
  </cols>
  <sheetData>
    <row r="1" spans="1:26" ht="14.5">
      <c r="A1" s="32" t="s">
        <v>0</v>
      </c>
    </row>
    <row r="2" spans="1:26" ht="14.5">
      <c r="A2" s="33" t="s">
        <v>47</v>
      </c>
    </row>
    <row r="3" spans="1:26" ht="14.5">
      <c r="A3" s="34" t="s">
        <v>48</v>
      </c>
      <c r="B3" s="1"/>
      <c r="C3" s="1"/>
      <c r="D3" s="1"/>
      <c r="E3" s="1"/>
      <c r="F3" s="1"/>
      <c r="G3" s="1"/>
      <c r="H3" s="1"/>
      <c r="I3" s="1"/>
      <c r="J3" s="1"/>
      <c r="K3" s="1"/>
      <c r="L3" s="1"/>
      <c r="M3" s="1"/>
      <c r="N3" s="1"/>
      <c r="O3" s="1"/>
      <c r="P3" s="1"/>
      <c r="Q3" s="1"/>
      <c r="R3" s="1"/>
      <c r="S3" s="1"/>
      <c r="T3" s="1"/>
      <c r="U3" s="1"/>
      <c r="V3" s="1"/>
      <c r="W3" s="1"/>
      <c r="X3" s="1"/>
      <c r="Y3" s="1"/>
      <c r="Z3" s="1"/>
    </row>
    <row r="4" spans="1:26" ht="15.75" customHeight="1">
      <c r="A4" s="34" t="s">
        <v>49</v>
      </c>
      <c r="B4" s="1"/>
      <c r="C4" s="1"/>
      <c r="D4" s="1"/>
      <c r="E4" s="1"/>
      <c r="F4" s="1"/>
      <c r="G4" s="1"/>
      <c r="H4" s="1"/>
      <c r="I4" s="1"/>
      <c r="J4" s="1"/>
      <c r="K4" s="1"/>
      <c r="L4" s="1"/>
      <c r="M4" s="1"/>
      <c r="N4" s="1"/>
      <c r="O4" s="1"/>
      <c r="P4" s="1"/>
      <c r="Q4" s="1"/>
      <c r="R4" s="1"/>
      <c r="S4" s="1"/>
      <c r="T4" s="1"/>
      <c r="U4" s="1"/>
      <c r="V4" s="1"/>
      <c r="W4" s="1"/>
      <c r="X4" s="1"/>
      <c r="Y4" s="1"/>
      <c r="Z4" s="1"/>
    </row>
    <row r="5" spans="1:26" ht="15.75" customHeight="1">
      <c r="A5" s="34" t="s">
        <v>50</v>
      </c>
      <c r="B5" s="1"/>
      <c r="C5" s="1"/>
      <c r="D5" s="1"/>
      <c r="E5" s="1"/>
      <c r="F5" s="1"/>
      <c r="G5" s="1"/>
      <c r="H5" s="1"/>
      <c r="I5" s="1"/>
      <c r="J5" s="1"/>
      <c r="K5" s="1"/>
      <c r="L5" s="1"/>
      <c r="M5" s="1"/>
      <c r="N5" s="1"/>
      <c r="O5" s="1"/>
      <c r="P5" s="1"/>
      <c r="Q5" s="1"/>
      <c r="R5" s="1"/>
      <c r="S5" s="1"/>
      <c r="T5" s="1"/>
      <c r="U5" s="1"/>
      <c r="V5" s="1"/>
      <c r="W5" s="1"/>
      <c r="X5" s="1"/>
      <c r="Y5" s="1"/>
      <c r="Z5" s="1"/>
    </row>
    <row r="6" spans="1:26" ht="15.75" customHeight="1">
      <c r="A6" s="34" t="s">
        <v>51</v>
      </c>
      <c r="B6" s="1"/>
      <c r="C6" s="1"/>
      <c r="D6" s="1"/>
      <c r="E6" s="1"/>
      <c r="F6" s="1"/>
      <c r="G6" s="1"/>
      <c r="H6" s="1"/>
      <c r="I6" s="1"/>
      <c r="J6" s="1"/>
      <c r="K6" s="1"/>
      <c r="L6" s="1"/>
      <c r="M6" s="1"/>
      <c r="N6" s="1"/>
      <c r="O6" s="1"/>
      <c r="P6" s="1"/>
      <c r="Q6" s="1"/>
      <c r="R6" s="1"/>
      <c r="S6" s="1"/>
      <c r="T6" s="1"/>
      <c r="U6" s="1"/>
      <c r="V6" s="1"/>
      <c r="W6" s="1"/>
      <c r="X6" s="1"/>
      <c r="Y6" s="1"/>
      <c r="Z6" s="1"/>
    </row>
    <row r="7" spans="1:26" ht="15.75" customHeight="1">
      <c r="A7" s="34" t="s">
        <v>52</v>
      </c>
      <c r="B7" s="1"/>
      <c r="C7" s="1"/>
      <c r="D7" s="1"/>
      <c r="E7" s="1"/>
      <c r="F7" s="1"/>
      <c r="G7" s="1"/>
      <c r="H7" s="1"/>
      <c r="I7" s="1"/>
      <c r="J7" s="1"/>
      <c r="K7" s="1"/>
      <c r="L7" s="1"/>
      <c r="M7" s="1"/>
      <c r="N7" s="1"/>
      <c r="O7" s="1"/>
      <c r="P7" s="1"/>
      <c r="Q7" s="1"/>
      <c r="R7" s="1"/>
      <c r="S7" s="1"/>
      <c r="T7" s="1"/>
      <c r="U7" s="1"/>
      <c r="V7" s="1"/>
      <c r="W7" s="1"/>
      <c r="X7" s="1"/>
      <c r="Y7" s="1"/>
      <c r="Z7" s="1"/>
    </row>
    <row r="8" spans="1:26" ht="15.75" customHeight="1">
      <c r="A8" s="34" t="s">
        <v>53</v>
      </c>
      <c r="B8" s="1"/>
      <c r="C8" s="1"/>
      <c r="D8" s="1"/>
      <c r="E8" s="1"/>
      <c r="F8" s="1"/>
      <c r="G8" s="1"/>
      <c r="H8" s="1"/>
      <c r="I8" s="1"/>
      <c r="J8" s="1"/>
      <c r="K8" s="1"/>
      <c r="L8" s="1"/>
      <c r="M8" s="1"/>
      <c r="N8" s="1"/>
      <c r="O8" s="1"/>
      <c r="P8" s="1"/>
      <c r="Q8" s="1"/>
      <c r="R8" s="1"/>
      <c r="S8" s="1"/>
      <c r="T8" s="1"/>
      <c r="U8" s="1"/>
      <c r="V8" s="1"/>
      <c r="W8" s="1"/>
      <c r="X8" s="1"/>
      <c r="Y8" s="1"/>
      <c r="Z8" s="1"/>
    </row>
    <row r="9" spans="1:26" ht="15.75" customHeight="1">
      <c r="A9" s="34" t="s">
        <v>54</v>
      </c>
      <c r="B9" s="1"/>
      <c r="C9" s="1"/>
      <c r="D9" s="1"/>
      <c r="E9" s="1"/>
      <c r="F9" s="1"/>
      <c r="G9" s="1"/>
      <c r="H9" s="1"/>
      <c r="I9" s="1"/>
      <c r="J9" s="1"/>
      <c r="K9" s="1"/>
      <c r="L9" s="1"/>
      <c r="M9" s="1"/>
      <c r="N9" s="1"/>
      <c r="O9" s="1"/>
      <c r="P9" s="1"/>
      <c r="Q9" s="1"/>
      <c r="R9" s="1"/>
      <c r="S9" s="1"/>
      <c r="T9" s="1"/>
      <c r="U9" s="1"/>
      <c r="V9" s="1"/>
      <c r="W9" s="1"/>
      <c r="X9" s="1"/>
      <c r="Y9" s="1"/>
      <c r="Z9" s="1"/>
    </row>
    <row r="10" spans="1:26" ht="15.75" customHeight="1">
      <c r="A10" s="34" t="s">
        <v>55</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34" t="s">
        <v>56</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34" t="s">
        <v>57</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34" t="s">
        <v>58</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34" t="s">
        <v>59</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34" t="s">
        <v>60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22"/>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35" t="s">
        <v>61</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36" t="s">
        <v>62</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36" t="s">
        <v>63</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36" t="s">
        <v>64</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36" t="s">
        <v>65</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36" t="s">
        <v>66</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36" t="s">
        <v>67</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36" t="s">
        <v>68</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36" t="s">
        <v>69</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37" t="s">
        <v>70</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37" t="s">
        <v>71</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22"/>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33" t="s">
        <v>72</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34" t="s">
        <v>73</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row r="926" spans="1:26" ht="15.75" customHeight="1"/>
    <row r="927" spans="1:26" ht="15.75" customHeight="1"/>
    <row r="928" spans="1:26"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10F8-1E22-472C-A5A4-C4ED85FB6C73}">
  <dimension ref="A3:N67"/>
  <sheetViews>
    <sheetView topLeftCell="A26" zoomScale="67" workbookViewId="0">
      <selection activeCell="S14" sqref="S14"/>
    </sheetView>
  </sheetViews>
  <sheetFormatPr defaultRowHeight="14.5"/>
  <cols>
    <col min="1" max="1" width="13.6328125" bestFit="1" customWidth="1"/>
    <col min="2" max="2" width="11.453125" bestFit="1" customWidth="1"/>
    <col min="4" max="4" width="14.453125" customWidth="1"/>
    <col min="5" max="5" width="19" customWidth="1"/>
    <col min="6" max="6" width="13.81640625" bestFit="1" customWidth="1"/>
    <col min="7" max="7" width="11.453125" bestFit="1" customWidth="1"/>
    <col min="11" max="11" width="13.453125" customWidth="1"/>
    <col min="12" max="12" width="14.36328125" customWidth="1"/>
    <col min="13" max="13" width="11.453125" bestFit="1" customWidth="1"/>
    <col min="14" max="14" width="11.90625" bestFit="1" customWidth="1"/>
  </cols>
  <sheetData>
    <row r="3" spans="1:7">
      <c r="F3" s="18" t="s">
        <v>102</v>
      </c>
      <c r="G3" t="s">
        <v>104</v>
      </c>
    </row>
    <row r="4" spans="1:7">
      <c r="F4" s="19" t="s">
        <v>12</v>
      </c>
      <c r="G4" s="49">
        <v>47002.460000000006</v>
      </c>
    </row>
    <row r="5" spans="1:7">
      <c r="F5" s="19" t="s">
        <v>14</v>
      </c>
      <c r="G5" s="49">
        <v>41927.589999999989</v>
      </c>
    </row>
    <row r="6" spans="1:7">
      <c r="F6" s="19" t="s">
        <v>18</v>
      </c>
      <c r="G6" s="49">
        <v>41044.000000000007</v>
      </c>
    </row>
    <row r="7" spans="1:7">
      <c r="F7" s="19" t="s">
        <v>22</v>
      </c>
      <c r="G7" s="49">
        <v>36612.89</v>
      </c>
    </row>
    <row r="8" spans="1:7">
      <c r="F8" s="19" t="s">
        <v>29</v>
      </c>
      <c r="G8" s="49">
        <v>28630.819999999992</v>
      </c>
    </row>
    <row r="9" spans="1:7">
      <c r="F9" s="19" t="s">
        <v>103</v>
      </c>
      <c r="G9" s="49">
        <v>195217.76</v>
      </c>
    </row>
    <row r="11" spans="1:7">
      <c r="A11" s="18" t="s">
        <v>102</v>
      </c>
      <c r="B11" t="s">
        <v>104</v>
      </c>
    </row>
    <row r="12" spans="1:7">
      <c r="A12" s="19" t="s">
        <v>26</v>
      </c>
      <c r="B12" s="49">
        <v>43468.33</v>
      </c>
    </row>
    <row r="13" spans="1:7">
      <c r="A13" s="19" t="s">
        <v>16</v>
      </c>
      <c r="B13" s="49">
        <v>32441.64</v>
      </c>
    </row>
    <row r="14" spans="1:7">
      <c r="A14" s="19" t="s">
        <v>20</v>
      </c>
      <c r="B14" s="49">
        <v>34975.42</v>
      </c>
    </row>
    <row r="15" spans="1:7">
      <c r="A15" s="19" t="s">
        <v>17</v>
      </c>
      <c r="B15" s="49">
        <v>40248.79</v>
      </c>
    </row>
    <row r="16" spans="1:7">
      <c r="A16" s="19" t="s">
        <v>11</v>
      </c>
      <c r="B16" s="49">
        <v>44083.58</v>
      </c>
    </row>
    <row r="17" spans="1:14">
      <c r="A17" s="19" t="s">
        <v>103</v>
      </c>
      <c r="B17" s="49">
        <v>195217.76</v>
      </c>
    </row>
    <row r="20" spans="1:14">
      <c r="M20" t="s">
        <v>358</v>
      </c>
      <c r="N20" t="s">
        <v>123</v>
      </c>
    </row>
    <row r="21" spans="1:14">
      <c r="M21" s="49">
        <v>195217.75999999992</v>
      </c>
      <c r="N21" s="49">
        <v>68287.010000000009</v>
      </c>
    </row>
    <row r="37" spans="13:14">
      <c r="M37" t="s">
        <v>104</v>
      </c>
      <c r="N37" t="s">
        <v>123</v>
      </c>
    </row>
    <row r="38" spans="13:14">
      <c r="M38" s="49">
        <v>195217.75999999992</v>
      </c>
      <c r="N38" s="49">
        <v>68287.010000000009</v>
      </c>
    </row>
    <row r="53" spans="1:2">
      <c r="A53" s="18" t="s">
        <v>102</v>
      </c>
      <c r="B53" t="s">
        <v>104</v>
      </c>
    </row>
    <row r="54" spans="1:2">
      <c r="A54" s="19" t="s">
        <v>345</v>
      </c>
      <c r="B54" s="49">
        <v>19029.96</v>
      </c>
    </row>
    <row r="55" spans="1:2">
      <c r="A55" s="19" t="s">
        <v>346</v>
      </c>
      <c r="B55" s="49">
        <v>3212.17</v>
      </c>
    </row>
    <row r="56" spans="1:2">
      <c r="A56" s="19" t="s">
        <v>355</v>
      </c>
      <c r="B56" s="49">
        <v>10091.699999999999</v>
      </c>
    </row>
    <row r="57" spans="1:2">
      <c r="A57" s="19" t="s">
        <v>350</v>
      </c>
      <c r="B57" s="49">
        <v>11120.04</v>
      </c>
    </row>
    <row r="58" spans="1:2">
      <c r="A58" s="19" t="s">
        <v>348</v>
      </c>
      <c r="B58" s="49">
        <v>14006.359999999999</v>
      </c>
    </row>
    <row r="59" spans="1:2">
      <c r="A59" s="19" t="s">
        <v>349</v>
      </c>
      <c r="B59" s="49">
        <v>14914.650000000001</v>
      </c>
    </row>
    <row r="60" spans="1:2">
      <c r="A60" s="19" t="s">
        <v>356</v>
      </c>
      <c r="B60" s="49">
        <v>11609.039999999999</v>
      </c>
    </row>
    <row r="61" spans="1:2">
      <c r="A61" s="19" t="s">
        <v>357</v>
      </c>
      <c r="B61" s="49">
        <v>20187.509999999998</v>
      </c>
    </row>
    <row r="62" spans="1:2">
      <c r="A62" s="19" t="s">
        <v>347</v>
      </c>
      <c r="B62" s="49">
        <v>17655.219999999998</v>
      </c>
    </row>
    <row r="63" spans="1:2">
      <c r="A63" s="19" t="s">
        <v>352</v>
      </c>
      <c r="B63" s="49">
        <v>18507.339999999997</v>
      </c>
    </row>
    <row r="64" spans="1:2">
      <c r="A64" s="19" t="s">
        <v>351</v>
      </c>
      <c r="B64" s="49">
        <v>20135.030000000002</v>
      </c>
    </row>
    <row r="65" spans="1:2">
      <c r="A65" s="19" t="s">
        <v>353</v>
      </c>
      <c r="B65" s="49">
        <v>14215.240000000002</v>
      </c>
    </row>
    <row r="66" spans="1:2">
      <c r="A66" s="19" t="s">
        <v>354</v>
      </c>
      <c r="B66" s="49">
        <v>20533.499999999996</v>
      </c>
    </row>
    <row r="67" spans="1:2">
      <c r="A67" s="19" t="s">
        <v>103</v>
      </c>
      <c r="B67" s="49">
        <v>195217.75999999998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38" workbookViewId="0">
      <selection activeCell="D27" sqref="D27"/>
    </sheetView>
  </sheetViews>
  <sheetFormatPr defaultColWidth="14.453125" defaultRowHeight="15" customHeight="1"/>
  <cols>
    <col min="1" max="1" width="12.453125" customWidth="1"/>
    <col min="2" max="2" width="16.54296875" customWidth="1"/>
    <col min="3" max="3" width="7.36328125" customWidth="1"/>
    <col min="4" max="4" width="16.6328125" customWidth="1"/>
    <col min="5" max="5" width="8" customWidth="1"/>
    <col min="6" max="6" width="8.90625" customWidth="1"/>
    <col min="7" max="7" width="13.453125" bestFit="1" customWidth="1"/>
    <col min="8" max="8" width="8.6328125" customWidth="1"/>
    <col min="9" max="9" width="14.6328125" bestFit="1" customWidth="1"/>
    <col min="10" max="10" width="13.453125" customWidth="1"/>
    <col min="11" max="11" width="15.08984375" customWidth="1"/>
    <col min="12" max="12" width="19.6328125" bestFit="1" customWidth="1"/>
    <col min="13" max="13" width="15.08984375" customWidth="1"/>
    <col min="14" max="14" width="23.08984375" bestFit="1" customWidth="1"/>
    <col min="15" max="15" width="18.81640625" customWidth="1"/>
    <col min="16" max="16" width="30.90625" customWidth="1"/>
    <col min="17" max="18" width="17.453125" bestFit="1" customWidth="1"/>
    <col min="19" max="19" width="12" bestFit="1" customWidth="1"/>
    <col min="20" max="20" width="13.453125" bestFit="1" customWidth="1"/>
    <col min="21" max="22" width="12" bestFit="1" customWidth="1"/>
    <col min="23" max="23" width="12.453125" bestFit="1" customWidth="1"/>
    <col min="24" max="24" width="12" bestFit="1" customWidth="1"/>
    <col min="25" max="26" width="12.08984375" bestFit="1" customWidth="1"/>
    <col min="27" max="28" width="8.6328125" customWidth="1"/>
    <col min="29" max="29" width="15.54296875" customWidth="1"/>
    <col min="30" max="32" width="8.6328125" customWidth="1"/>
  </cols>
  <sheetData>
    <row r="1" spans="1:32" ht="14.5">
      <c r="A1" s="2" t="s">
        <v>1</v>
      </c>
      <c r="B1" s="2" t="s">
        <v>2</v>
      </c>
      <c r="C1" s="2" t="s">
        <v>3</v>
      </c>
      <c r="D1" s="2" t="s">
        <v>4</v>
      </c>
      <c r="E1" s="2" t="s">
        <v>5</v>
      </c>
      <c r="F1" s="2" t="s">
        <v>6</v>
      </c>
      <c r="G1" s="2" t="s">
        <v>324</v>
      </c>
      <c r="H1" s="2" t="s">
        <v>7</v>
      </c>
      <c r="I1" s="2" t="s">
        <v>8</v>
      </c>
      <c r="J1" s="2" t="s">
        <v>9</v>
      </c>
      <c r="K1" s="30" t="s">
        <v>343</v>
      </c>
      <c r="M1" s="30"/>
      <c r="R1" s="52" t="s">
        <v>99</v>
      </c>
      <c r="S1" s="53"/>
      <c r="T1" s="53"/>
      <c r="U1" s="53"/>
      <c r="V1" s="53"/>
      <c r="W1" s="53"/>
      <c r="X1" s="53"/>
      <c r="Y1" s="53"/>
      <c r="Z1" s="54"/>
      <c r="AA1" s="2"/>
      <c r="AB1" s="2"/>
      <c r="AD1" s="2"/>
      <c r="AE1" s="2"/>
      <c r="AF1" s="2"/>
    </row>
    <row r="2" spans="1:32" ht="14.5">
      <c r="A2" s="3" t="s">
        <v>124</v>
      </c>
      <c r="B2" s="3" t="s">
        <v>10</v>
      </c>
      <c r="C2" s="3" t="s">
        <v>11</v>
      </c>
      <c r="D2" s="3" t="s">
        <v>12</v>
      </c>
      <c r="E2" s="3">
        <v>1036.0899999999999</v>
      </c>
      <c r="F2" s="3">
        <v>4</v>
      </c>
      <c r="G2" s="3">
        <f>SUMIF($A:$A,A2,$E:$E)</f>
        <v>1036.0899999999999</v>
      </c>
      <c r="H2" s="3">
        <v>0.2</v>
      </c>
      <c r="I2" s="4">
        <v>45392</v>
      </c>
      <c r="J2" s="3">
        <v>331.55</v>
      </c>
      <c r="K2" s="31" t="str">
        <f>TEXT(I2, "MMM-YYYY")</f>
        <v>Apr-2024</v>
      </c>
      <c r="M2" s="31"/>
      <c r="R2" s="9" t="s">
        <v>74</v>
      </c>
      <c r="Z2" s="14"/>
    </row>
    <row r="3" spans="1:32" thickBot="1">
      <c r="A3" s="3" t="s">
        <v>125</v>
      </c>
      <c r="B3" s="3" t="s">
        <v>13</v>
      </c>
      <c r="C3" s="3" t="s">
        <v>11</v>
      </c>
      <c r="D3" s="3" t="s">
        <v>14</v>
      </c>
      <c r="E3" s="3">
        <v>1101.28</v>
      </c>
      <c r="F3" s="3">
        <v>3</v>
      </c>
      <c r="G3" s="3">
        <f t="shared" ref="G3:G66" si="0">SUMIF($A:$A,A3,$E:$E)</f>
        <v>1101.28</v>
      </c>
      <c r="H3" s="3">
        <v>0.2</v>
      </c>
      <c r="I3" s="4">
        <v>45393</v>
      </c>
      <c r="J3" s="3">
        <v>440.51</v>
      </c>
      <c r="K3" s="31" t="str">
        <f t="shared" ref="K3:K66" si="1">TEXT(I3, "MMM-YYYY")</f>
        <v>Apr-2024</v>
      </c>
      <c r="M3" s="31"/>
      <c r="R3" s="9"/>
      <c r="Z3" s="14"/>
    </row>
    <row r="4" spans="1:32" ht="14.5">
      <c r="A4" s="3" t="s">
        <v>126</v>
      </c>
      <c r="B4" s="3" t="s">
        <v>15</v>
      </c>
      <c r="C4" s="3" t="s">
        <v>16</v>
      </c>
      <c r="D4" s="3" t="s">
        <v>12</v>
      </c>
      <c r="E4" s="3">
        <v>713.34</v>
      </c>
      <c r="F4" s="3">
        <v>17</v>
      </c>
      <c r="G4" s="3">
        <f t="shared" si="0"/>
        <v>713.34</v>
      </c>
      <c r="H4" s="3">
        <v>0</v>
      </c>
      <c r="I4" s="4">
        <v>45396</v>
      </c>
      <c r="J4" s="3">
        <v>285.33999999999997</v>
      </c>
      <c r="K4" s="31" t="str">
        <f t="shared" si="1"/>
        <v>Apr-2024</v>
      </c>
      <c r="M4" s="31"/>
      <c r="R4" s="10" t="s">
        <v>75</v>
      </c>
      <c r="S4" s="7"/>
      <c r="Z4" s="14"/>
    </row>
    <row r="5" spans="1:32" ht="14.5">
      <c r="A5" s="3" t="s">
        <v>127</v>
      </c>
      <c r="B5" s="3" t="s">
        <v>13</v>
      </c>
      <c r="C5" s="3" t="s">
        <v>17</v>
      </c>
      <c r="D5" s="3" t="s">
        <v>18</v>
      </c>
      <c r="E5" s="3">
        <v>760.93</v>
      </c>
      <c r="F5" s="3">
        <v>4</v>
      </c>
      <c r="G5" s="3">
        <f t="shared" si="0"/>
        <v>760.93</v>
      </c>
      <c r="H5" s="3">
        <v>0.15</v>
      </c>
      <c r="I5" s="4">
        <v>45396</v>
      </c>
      <c r="J5" s="3">
        <v>161.69999999999999</v>
      </c>
      <c r="K5" s="31" t="str">
        <f t="shared" si="1"/>
        <v>Apr-2024</v>
      </c>
      <c r="M5" s="31"/>
      <c r="N5" s="20"/>
      <c r="P5" s="21"/>
      <c r="R5" s="9" t="s">
        <v>76</v>
      </c>
      <c r="S5">
        <v>0.77340306414342619</v>
      </c>
      <c r="Z5" s="14"/>
    </row>
    <row r="6" spans="1:32" ht="14.5">
      <c r="A6" s="3" t="s">
        <v>128</v>
      </c>
      <c r="B6" s="3" t="s">
        <v>19</v>
      </c>
      <c r="C6" s="3" t="s">
        <v>20</v>
      </c>
      <c r="D6" s="3" t="s">
        <v>12</v>
      </c>
      <c r="E6" s="3">
        <v>847</v>
      </c>
      <c r="F6" s="3">
        <v>12</v>
      </c>
      <c r="G6" s="3">
        <f t="shared" si="0"/>
        <v>847</v>
      </c>
      <c r="H6" s="3">
        <v>0.2</v>
      </c>
      <c r="I6" s="4">
        <v>45397</v>
      </c>
      <c r="J6" s="3">
        <v>271.04000000000002</v>
      </c>
      <c r="K6" s="31" t="str">
        <f t="shared" si="1"/>
        <v>Apr-2024</v>
      </c>
      <c r="M6" s="31"/>
      <c r="N6" s="58" t="s">
        <v>122</v>
      </c>
      <c r="O6" s="59"/>
      <c r="P6" s="59"/>
      <c r="R6" s="9" t="s">
        <v>77</v>
      </c>
      <c r="S6">
        <v>0.59815229962644068</v>
      </c>
      <c r="Z6" s="14"/>
    </row>
    <row r="7" spans="1:32" ht="14.5">
      <c r="A7" s="3" t="s">
        <v>129</v>
      </c>
      <c r="B7" s="3" t="s">
        <v>21</v>
      </c>
      <c r="C7" s="3" t="s">
        <v>20</v>
      </c>
      <c r="D7" s="3" t="s">
        <v>22</v>
      </c>
      <c r="E7" s="3">
        <v>965.64</v>
      </c>
      <c r="F7" s="3">
        <v>8</v>
      </c>
      <c r="G7" s="3">
        <f t="shared" si="0"/>
        <v>965.64</v>
      </c>
      <c r="H7" s="3">
        <v>0.1</v>
      </c>
      <c r="I7" s="4">
        <v>45398</v>
      </c>
      <c r="J7" s="3">
        <v>304.18</v>
      </c>
      <c r="K7" s="31" t="str">
        <f t="shared" si="1"/>
        <v>Apr-2024</v>
      </c>
      <c r="M7" s="31"/>
      <c r="N7" s="63"/>
      <c r="O7" s="60"/>
      <c r="P7" s="22"/>
      <c r="R7" s="9" t="s">
        <v>78</v>
      </c>
      <c r="S7">
        <v>0.59612276578617018</v>
      </c>
      <c r="Z7" s="14"/>
      <c r="AE7" s="2"/>
    </row>
    <row r="8" spans="1:32" ht="18.5">
      <c r="A8" s="3" t="s">
        <v>130</v>
      </c>
      <c r="B8" s="3" t="s">
        <v>23</v>
      </c>
      <c r="C8" s="3" t="s">
        <v>11</v>
      </c>
      <c r="D8" s="3" t="s">
        <v>18</v>
      </c>
      <c r="E8" s="3">
        <v>1317.53</v>
      </c>
      <c r="F8" s="3">
        <v>12</v>
      </c>
      <c r="G8" s="3">
        <f t="shared" si="0"/>
        <v>1317.53</v>
      </c>
      <c r="H8" s="3">
        <v>0.05</v>
      </c>
      <c r="I8" s="4">
        <v>45398</v>
      </c>
      <c r="J8" s="3">
        <v>312.91000000000003</v>
      </c>
      <c r="K8" s="31" t="str">
        <f t="shared" si="1"/>
        <v>Apr-2024</v>
      </c>
      <c r="M8" s="31"/>
      <c r="N8" s="64"/>
      <c r="O8" s="61"/>
      <c r="P8" s="28" t="s">
        <v>121</v>
      </c>
      <c r="R8" s="9" t="s">
        <v>79</v>
      </c>
      <c r="S8">
        <v>190.19247302285618</v>
      </c>
      <c r="Z8" s="14"/>
    </row>
    <row r="9" spans="1:32" thickBot="1">
      <c r="A9" s="3" t="s">
        <v>131</v>
      </c>
      <c r="B9" s="3" t="s">
        <v>24</v>
      </c>
      <c r="C9" s="3" t="s">
        <v>16</v>
      </c>
      <c r="D9" s="3" t="s">
        <v>22</v>
      </c>
      <c r="E9" s="3">
        <v>1074.47</v>
      </c>
      <c r="F9" s="3">
        <v>6</v>
      </c>
      <c r="G9" s="3">
        <f t="shared" si="0"/>
        <v>1074.47</v>
      </c>
      <c r="H9" s="3">
        <v>0.2</v>
      </c>
      <c r="I9" s="4">
        <v>45401</v>
      </c>
      <c r="J9" s="3">
        <v>300.85000000000002</v>
      </c>
      <c r="K9" s="31" t="str">
        <f t="shared" si="1"/>
        <v>Apr-2024</v>
      </c>
      <c r="M9" s="31"/>
      <c r="N9" s="64"/>
      <c r="O9" s="61"/>
      <c r="P9" s="25"/>
      <c r="R9" s="11" t="s">
        <v>80</v>
      </c>
      <c r="S9" s="5">
        <v>200</v>
      </c>
      <c r="Z9" s="14"/>
    </row>
    <row r="10" spans="1:32" ht="14.5">
      <c r="A10" s="3" t="s">
        <v>132</v>
      </c>
      <c r="B10" s="3" t="s">
        <v>25</v>
      </c>
      <c r="C10" s="3" t="s">
        <v>26</v>
      </c>
      <c r="D10" s="3" t="s">
        <v>12</v>
      </c>
      <c r="E10" s="3">
        <v>501.54</v>
      </c>
      <c r="F10" s="3">
        <v>11</v>
      </c>
      <c r="G10" s="3">
        <f t="shared" si="0"/>
        <v>501.54</v>
      </c>
      <c r="H10" s="3">
        <v>0.05</v>
      </c>
      <c r="I10" s="4">
        <v>45401</v>
      </c>
      <c r="J10" s="3">
        <v>190.59</v>
      </c>
      <c r="K10" s="31" t="str">
        <f t="shared" si="1"/>
        <v>Apr-2024</v>
      </c>
      <c r="M10" s="31"/>
      <c r="N10" s="65"/>
      <c r="O10" s="62"/>
      <c r="P10" s="23">
        <f>S25</f>
        <v>34143.505000000005</v>
      </c>
      <c r="R10" s="9"/>
      <c r="Z10" s="14"/>
    </row>
    <row r="11" spans="1:32" thickBot="1">
      <c r="A11" s="3" t="s">
        <v>133</v>
      </c>
      <c r="B11" s="3" t="s">
        <v>27</v>
      </c>
      <c r="C11" s="3" t="s">
        <v>26</v>
      </c>
      <c r="D11" s="3" t="s">
        <v>14</v>
      </c>
      <c r="E11" s="3">
        <v>737.31</v>
      </c>
      <c r="F11" s="3">
        <v>2</v>
      </c>
      <c r="G11" s="3">
        <f t="shared" si="0"/>
        <v>737.31</v>
      </c>
      <c r="H11" s="3">
        <v>0.05</v>
      </c>
      <c r="I11" s="4">
        <v>45401</v>
      </c>
      <c r="J11" s="3">
        <v>350.22</v>
      </c>
      <c r="K11" s="31" t="str">
        <f t="shared" si="1"/>
        <v>Apr-2024</v>
      </c>
      <c r="M11" s="31"/>
      <c r="N11" s="57" t="s">
        <v>7</v>
      </c>
      <c r="O11" s="25">
        <v>0.2</v>
      </c>
      <c r="P11" s="24">
        <f t="dataTable" ref="P11:P14" dt2D="0" dtr="0" r1="S24"/>
        <v>54629.608000000007</v>
      </c>
      <c r="R11" s="9" t="s">
        <v>81</v>
      </c>
      <c r="Z11" s="14"/>
    </row>
    <row r="12" spans="1:32" ht="14.5">
      <c r="A12" s="3" t="s">
        <v>134</v>
      </c>
      <c r="B12" s="3" t="s">
        <v>28</v>
      </c>
      <c r="C12" s="3" t="s">
        <v>11</v>
      </c>
      <c r="D12" s="3" t="s">
        <v>29</v>
      </c>
      <c r="E12" s="3">
        <v>1572.82</v>
      </c>
      <c r="F12" s="3">
        <v>6</v>
      </c>
      <c r="G12" s="3">
        <f t="shared" si="0"/>
        <v>1572.82</v>
      </c>
      <c r="H12" s="3">
        <v>0.05</v>
      </c>
      <c r="I12" s="4">
        <v>45402</v>
      </c>
      <c r="J12" s="3">
        <v>672.38</v>
      </c>
      <c r="K12" s="31" t="str">
        <f t="shared" si="1"/>
        <v>Apr-2024</v>
      </c>
      <c r="M12" s="31"/>
      <c r="N12" s="57"/>
      <c r="O12" s="25">
        <v>0.5</v>
      </c>
      <c r="P12" s="24">
        <v>34143.505000000005</v>
      </c>
      <c r="R12" s="12"/>
      <c r="S12" s="6" t="s">
        <v>86</v>
      </c>
      <c r="T12" s="6" t="s">
        <v>87</v>
      </c>
      <c r="U12" s="6" t="s">
        <v>88</v>
      </c>
      <c r="V12" s="6" t="s">
        <v>89</v>
      </c>
      <c r="W12" s="6" t="s">
        <v>90</v>
      </c>
      <c r="Z12" s="14"/>
    </row>
    <row r="13" spans="1:32" ht="14.5">
      <c r="A13" s="3" t="s">
        <v>135</v>
      </c>
      <c r="B13" s="3" t="s">
        <v>27</v>
      </c>
      <c r="C13" s="3" t="s">
        <v>26</v>
      </c>
      <c r="D13" s="3" t="s">
        <v>12</v>
      </c>
      <c r="E13" s="3">
        <v>1343.13</v>
      </c>
      <c r="F13" s="3">
        <v>14</v>
      </c>
      <c r="G13" s="3">
        <f t="shared" si="0"/>
        <v>1343.13</v>
      </c>
      <c r="H13" s="3">
        <v>0.15</v>
      </c>
      <c r="I13" s="4">
        <v>45404</v>
      </c>
      <c r="J13" s="3">
        <v>456.66</v>
      </c>
      <c r="K13" s="31" t="str">
        <f t="shared" si="1"/>
        <v>Apr-2024</v>
      </c>
      <c r="M13" s="31"/>
      <c r="N13" s="57"/>
      <c r="O13" s="25">
        <v>0.6</v>
      </c>
      <c r="P13" s="24">
        <v>27314.804000000004</v>
      </c>
      <c r="R13" s="9" t="s">
        <v>82</v>
      </c>
      <c r="S13">
        <v>1</v>
      </c>
      <c r="T13">
        <v>10661102.788791124</v>
      </c>
      <c r="U13">
        <v>10661102.788791124</v>
      </c>
      <c r="V13">
        <v>294.72398427548137</v>
      </c>
      <c r="W13">
        <v>4.6269367558908521E-41</v>
      </c>
      <c r="Z13" s="14"/>
    </row>
    <row r="14" spans="1:32" ht="14.5">
      <c r="A14" s="3" t="s">
        <v>136</v>
      </c>
      <c r="B14" s="3" t="s">
        <v>21</v>
      </c>
      <c r="C14" s="3" t="s">
        <v>26</v>
      </c>
      <c r="D14" s="3" t="s">
        <v>12</v>
      </c>
      <c r="E14" s="3">
        <v>1191.58</v>
      </c>
      <c r="F14" s="3">
        <v>14</v>
      </c>
      <c r="G14" s="3">
        <f t="shared" si="0"/>
        <v>1191.58</v>
      </c>
      <c r="H14" s="3">
        <v>0.05</v>
      </c>
      <c r="I14" s="4">
        <v>45406</v>
      </c>
      <c r="J14" s="3">
        <v>452.8</v>
      </c>
      <c r="K14" s="31" t="str">
        <f t="shared" si="1"/>
        <v>Apr-2024</v>
      </c>
      <c r="M14" s="31"/>
      <c r="N14" s="57"/>
      <c r="O14" s="25">
        <v>0.8</v>
      </c>
      <c r="P14" s="24">
        <v>13657.401999999998</v>
      </c>
      <c r="R14" s="9" t="s">
        <v>83</v>
      </c>
      <c r="S14">
        <v>198</v>
      </c>
      <c r="T14">
        <v>7162289.005320874</v>
      </c>
      <c r="U14">
        <v>36173.176794549872</v>
      </c>
      <c r="Z14" s="14"/>
    </row>
    <row r="15" spans="1:32" thickBot="1">
      <c r="A15" s="3" t="s">
        <v>137</v>
      </c>
      <c r="B15" s="3" t="s">
        <v>13</v>
      </c>
      <c r="C15" s="3" t="s">
        <v>11</v>
      </c>
      <c r="D15" s="3" t="s">
        <v>22</v>
      </c>
      <c r="E15" s="3">
        <v>822.28</v>
      </c>
      <c r="F15" s="3">
        <v>7</v>
      </c>
      <c r="G15" s="3">
        <f t="shared" si="0"/>
        <v>822.28</v>
      </c>
      <c r="H15" s="3">
        <v>0.05</v>
      </c>
      <c r="I15" s="4">
        <v>45406</v>
      </c>
      <c r="J15" s="3">
        <v>273.41000000000003</v>
      </c>
      <c r="K15" s="31" t="str">
        <f t="shared" si="1"/>
        <v>Apr-2024</v>
      </c>
      <c r="L15" s="31"/>
      <c r="M15" s="31"/>
      <c r="R15" s="11" t="s">
        <v>84</v>
      </c>
      <c r="S15" s="5">
        <v>199</v>
      </c>
      <c r="T15" s="5">
        <v>17823391.794111997</v>
      </c>
      <c r="U15" s="5"/>
      <c r="V15" s="5"/>
      <c r="W15" s="5"/>
      <c r="Z15" s="14"/>
    </row>
    <row r="16" spans="1:32" thickBot="1">
      <c r="A16" s="3" t="s">
        <v>138</v>
      </c>
      <c r="B16" s="3" t="s">
        <v>30</v>
      </c>
      <c r="C16" s="3" t="s">
        <v>20</v>
      </c>
      <c r="D16" s="3" t="s">
        <v>22</v>
      </c>
      <c r="E16" s="3">
        <v>521.66999999999996</v>
      </c>
      <c r="F16" s="3">
        <v>15</v>
      </c>
      <c r="G16" s="3">
        <f t="shared" si="0"/>
        <v>521.66999999999996</v>
      </c>
      <c r="H16" s="3">
        <v>0.15</v>
      </c>
      <c r="I16" s="4">
        <v>45409</v>
      </c>
      <c r="J16" s="3">
        <v>155.19999999999999</v>
      </c>
      <c r="K16" s="31" t="str">
        <f t="shared" si="1"/>
        <v>Apr-2024</v>
      </c>
      <c r="L16" s="31"/>
      <c r="M16" s="31"/>
      <c r="R16" s="9"/>
      <c r="Z16" s="14"/>
    </row>
    <row r="17" spans="1:26" ht="14.5">
      <c r="A17" s="3" t="s">
        <v>139</v>
      </c>
      <c r="B17" s="3" t="s">
        <v>31</v>
      </c>
      <c r="C17" s="3" t="s">
        <v>17</v>
      </c>
      <c r="D17" s="3" t="s">
        <v>18</v>
      </c>
      <c r="E17" s="3">
        <v>1502.93</v>
      </c>
      <c r="F17" s="3">
        <v>14</v>
      </c>
      <c r="G17" s="3">
        <f t="shared" si="0"/>
        <v>1502.93</v>
      </c>
      <c r="H17" s="3">
        <v>0.2</v>
      </c>
      <c r="I17" s="4">
        <v>45410</v>
      </c>
      <c r="J17" s="3">
        <v>300.58999999999997</v>
      </c>
      <c r="K17" s="31" t="str">
        <f t="shared" si="1"/>
        <v>Apr-2024</v>
      </c>
      <c r="L17" s="31"/>
      <c r="M17" s="31"/>
      <c r="N17" s="45" t="s">
        <v>100</v>
      </c>
      <c r="R17" s="12"/>
      <c r="S17" s="6" t="s">
        <v>91</v>
      </c>
      <c r="T17" s="6" t="s">
        <v>79</v>
      </c>
      <c r="U17" s="6" t="s">
        <v>92</v>
      </c>
      <c r="V17" s="6" t="s">
        <v>93</v>
      </c>
      <c r="W17" s="6" t="s">
        <v>94</v>
      </c>
      <c r="X17" s="6" t="s">
        <v>95</v>
      </c>
      <c r="Y17" s="6" t="s">
        <v>96</v>
      </c>
      <c r="Z17" s="15" t="s">
        <v>97</v>
      </c>
    </row>
    <row r="18" spans="1:26" ht="14.5">
      <c r="A18" s="3" t="s">
        <v>140</v>
      </c>
      <c r="B18" s="3" t="s">
        <v>13</v>
      </c>
      <c r="C18" s="3" t="s">
        <v>17</v>
      </c>
      <c r="D18" s="3" t="s">
        <v>12</v>
      </c>
      <c r="E18" s="3">
        <v>877.58</v>
      </c>
      <c r="F18" s="3">
        <v>10</v>
      </c>
      <c r="G18" s="3">
        <f t="shared" si="0"/>
        <v>877.58</v>
      </c>
      <c r="H18" s="3">
        <v>0.15</v>
      </c>
      <c r="I18" s="4">
        <v>45411</v>
      </c>
      <c r="J18" s="3">
        <v>298.38</v>
      </c>
      <c r="K18" s="31" t="str">
        <f t="shared" si="1"/>
        <v>Apr-2024</v>
      </c>
      <c r="L18" s="31"/>
      <c r="M18" s="31"/>
      <c r="N18" s="17">
        <f ca="1">NOW()</f>
        <v>46071.458822916669</v>
      </c>
      <c r="R18" s="9" t="s">
        <v>85</v>
      </c>
      <c r="S18">
        <v>393.99766516951786</v>
      </c>
      <c r="T18">
        <v>36.476267980965957</v>
      </c>
      <c r="U18">
        <v>10.80147961888847</v>
      </c>
      <c r="V18">
        <v>1.1137843314422145E-21</v>
      </c>
      <c r="W18">
        <v>322.06582718481212</v>
      </c>
      <c r="X18">
        <v>465.9295031542236</v>
      </c>
      <c r="Y18">
        <v>322.06582718481212</v>
      </c>
      <c r="Z18" s="14">
        <v>465.9295031542236</v>
      </c>
    </row>
    <row r="19" spans="1:26" ht="14.5">
      <c r="A19" s="3" t="s">
        <v>141</v>
      </c>
      <c r="B19" s="3" t="s">
        <v>32</v>
      </c>
      <c r="C19" s="3" t="s">
        <v>11</v>
      </c>
      <c r="D19" s="3" t="s">
        <v>12</v>
      </c>
      <c r="E19" s="3">
        <v>636.70000000000005</v>
      </c>
      <c r="F19" s="3">
        <v>4</v>
      </c>
      <c r="G19" s="3">
        <f t="shared" si="0"/>
        <v>636.70000000000005</v>
      </c>
      <c r="H19" s="3">
        <v>0.2</v>
      </c>
      <c r="I19" s="4">
        <v>45411</v>
      </c>
      <c r="J19" s="3">
        <v>203.74</v>
      </c>
      <c r="K19" s="31" t="str">
        <f t="shared" si="1"/>
        <v>Apr-2024</v>
      </c>
      <c r="L19" s="31"/>
      <c r="M19" s="31"/>
      <c r="R19" s="13" t="s">
        <v>98</v>
      </c>
      <c r="S19" s="8">
        <v>1.7048370834525679</v>
      </c>
      <c r="T19" s="8">
        <v>9.9305921034454653E-2</v>
      </c>
      <c r="U19" s="8">
        <v>17.167527028535051</v>
      </c>
      <c r="V19" s="8">
        <v>4.6269367558907205E-41</v>
      </c>
      <c r="W19" s="8">
        <v>1.5090040715199911</v>
      </c>
      <c r="X19" s="8">
        <v>1.9006700953851448</v>
      </c>
      <c r="Y19" s="8">
        <v>1.5090040715199911</v>
      </c>
      <c r="Z19" s="16">
        <v>1.9006700953851448</v>
      </c>
    </row>
    <row r="20" spans="1:26" ht="14.5">
      <c r="A20" s="3" t="s">
        <v>142</v>
      </c>
      <c r="B20" s="3" t="s">
        <v>33</v>
      </c>
      <c r="C20" s="3" t="s">
        <v>11</v>
      </c>
      <c r="D20" s="3" t="s">
        <v>12</v>
      </c>
      <c r="E20" s="3">
        <v>1506.14</v>
      </c>
      <c r="F20" s="3">
        <v>13</v>
      </c>
      <c r="G20" s="3">
        <f t="shared" si="0"/>
        <v>1506.14</v>
      </c>
      <c r="H20" s="3">
        <v>0.2</v>
      </c>
      <c r="I20" s="4">
        <v>45412</v>
      </c>
      <c r="J20" s="3">
        <v>481.96</v>
      </c>
      <c r="K20" s="31" t="str">
        <f t="shared" si="1"/>
        <v>Apr-2024</v>
      </c>
      <c r="L20" s="31"/>
      <c r="M20" s="31"/>
    </row>
    <row r="21" spans="1:26" ht="15.75" customHeight="1">
      <c r="A21" s="3" t="s">
        <v>143</v>
      </c>
      <c r="B21" s="3" t="s">
        <v>24</v>
      </c>
      <c r="C21" s="3" t="s">
        <v>26</v>
      </c>
      <c r="D21" s="3" t="s">
        <v>18</v>
      </c>
      <c r="E21" s="3">
        <v>645.02</v>
      </c>
      <c r="F21" s="3">
        <v>4</v>
      </c>
      <c r="G21" s="3">
        <f t="shared" si="0"/>
        <v>645.02</v>
      </c>
      <c r="H21" s="3">
        <v>0</v>
      </c>
      <c r="I21" s="4">
        <v>45414</v>
      </c>
      <c r="J21" s="3">
        <v>161.26</v>
      </c>
      <c r="K21" s="31" t="str">
        <f t="shared" si="1"/>
        <v>May-2024</v>
      </c>
      <c r="L21" s="31"/>
      <c r="M21" s="31"/>
    </row>
    <row r="22" spans="1:26" ht="15.75" customHeight="1">
      <c r="A22" s="3" t="s">
        <v>144</v>
      </c>
      <c r="B22" s="3" t="s">
        <v>34</v>
      </c>
      <c r="C22" s="3" t="s">
        <v>17</v>
      </c>
      <c r="D22" s="3" t="s">
        <v>14</v>
      </c>
      <c r="E22" s="3">
        <v>953.3</v>
      </c>
      <c r="F22" s="3">
        <v>11</v>
      </c>
      <c r="G22" s="3">
        <f t="shared" si="0"/>
        <v>953.3</v>
      </c>
      <c r="H22" s="3">
        <v>0</v>
      </c>
      <c r="I22" s="4">
        <v>45415</v>
      </c>
      <c r="J22" s="3">
        <v>476.65</v>
      </c>
      <c r="K22" s="31" t="str">
        <f t="shared" si="1"/>
        <v>May-2024</v>
      </c>
      <c r="L22" s="31"/>
      <c r="M22" s="31"/>
      <c r="N22" s="45" t="s">
        <v>101</v>
      </c>
      <c r="P22" s="46" t="s">
        <v>344</v>
      </c>
      <c r="R22" s="55" t="s">
        <v>107</v>
      </c>
      <c r="S22" s="56"/>
    </row>
    <row r="23" spans="1:26" ht="15.75" customHeight="1">
      <c r="A23" s="3" t="s">
        <v>145</v>
      </c>
      <c r="B23" s="3" t="s">
        <v>13</v>
      </c>
      <c r="C23" s="3" t="s">
        <v>20</v>
      </c>
      <c r="D23" s="3" t="s">
        <v>18</v>
      </c>
      <c r="E23" s="3">
        <v>388.56</v>
      </c>
      <c r="F23" s="3">
        <v>14</v>
      </c>
      <c r="G23" s="3">
        <f t="shared" si="0"/>
        <v>388.56</v>
      </c>
      <c r="H23" s="3">
        <v>0.15</v>
      </c>
      <c r="I23" s="4">
        <v>45416</v>
      </c>
      <c r="J23" s="3">
        <v>82.57</v>
      </c>
      <c r="K23" s="31" t="str">
        <f t="shared" si="1"/>
        <v>May-2024</v>
      </c>
      <c r="L23" s="31"/>
      <c r="M23" s="31"/>
      <c r="N23" s="17" t="str">
        <f>INDEX($B$2:$B$200,MATCH(MAX($E$2:$E$200),$E$2:$E$200,0))</f>
        <v>James Wilson</v>
      </c>
      <c r="P23" s="38">
        <f>SUMIFS(E:E,K:K,"Apr-2024")</f>
        <v>19029.96</v>
      </c>
      <c r="R23" s="26" t="s">
        <v>106</v>
      </c>
      <c r="S23" s="23">
        <f>SUM(J2:J201)</f>
        <v>68287.010000000009</v>
      </c>
    </row>
    <row r="24" spans="1:26" ht="15.75" customHeight="1">
      <c r="A24" s="3" t="s">
        <v>146</v>
      </c>
      <c r="B24" s="3" t="s">
        <v>24</v>
      </c>
      <c r="C24" s="3" t="s">
        <v>11</v>
      </c>
      <c r="D24" s="3" t="s">
        <v>12</v>
      </c>
      <c r="E24" s="3">
        <v>743.17</v>
      </c>
      <c r="F24" s="3">
        <v>9</v>
      </c>
      <c r="G24" s="3">
        <f t="shared" si="0"/>
        <v>743.17</v>
      </c>
      <c r="H24" s="3">
        <v>0</v>
      </c>
      <c r="I24" s="4">
        <v>45416</v>
      </c>
      <c r="J24" s="3">
        <v>297.27</v>
      </c>
      <c r="K24" s="31" t="str">
        <f t="shared" si="1"/>
        <v>May-2024</v>
      </c>
      <c r="L24" s="31"/>
      <c r="M24" s="31"/>
      <c r="P24" s="38">
        <f>SUMIFS(E:E,K:K,"MAY-2024")</f>
        <v>18507.339999999997</v>
      </c>
      <c r="R24" s="26" t="s">
        <v>7</v>
      </c>
      <c r="S24" s="29">
        <v>0.5</v>
      </c>
    </row>
    <row r="25" spans="1:26" ht="15.75" customHeight="1">
      <c r="A25" s="3" t="s">
        <v>147</v>
      </c>
      <c r="B25" s="3" t="s">
        <v>24</v>
      </c>
      <c r="C25" s="3" t="s">
        <v>26</v>
      </c>
      <c r="D25" s="3" t="s">
        <v>18</v>
      </c>
      <c r="E25" s="3">
        <v>706.37</v>
      </c>
      <c r="F25" s="3">
        <v>6</v>
      </c>
      <c r="G25" s="3">
        <f t="shared" si="0"/>
        <v>706.37</v>
      </c>
      <c r="H25" s="3">
        <v>0</v>
      </c>
      <c r="I25" s="4">
        <v>45416</v>
      </c>
      <c r="J25" s="3">
        <v>176.59</v>
      </c>
      <c r="K25" s="31" t="str">
        <f t="shared" si="1"/>
        <v>May-2024</v>
      </c>
      <c r="L25" s="31"/>
      <c r="M25" s="31"/>
      <c r="P25" s="38">
        <f>SUMIFS(E:E,K:K,"JUN-2024")</f>
        <v>20187.509999999998</v>
      </c>
      <c r="R25" s="27" t="s">
        <v>105</v>
      </c>
      <c r="S25" s="23">
        <f>S23*(1-S24)</f>
        <v>34143.505000000005</v>
      </c>
    </row>
    <row r="26" spans="1:26" ht="15.75" customHeight="1">
      <c r="A26" s="3" t="s">
        <v>148</v>
      </c>
      <c r="B26" s="3" t="s">
        <v>24</v>
      </c>
      <c r="C26" s="3" t="s">
        <v>26</v>
      </c>
      <c r="D26" s="3" t="s">
        <v>29</v>
      </c>
      <c r="E26" s="3">
        <v>925.31</v>
      </c>
      <c r="F26" s="3">
        <v>8</v>
      </c>
      <c r="G26" s="3">
        <f t="shared" si="0"/>
        <v>925.31</v>
      </c>
      <c r="H26" s="3">
        <v>0.1</v>
      </c>
      <c r="I26" s="4">
        <v>45418</v>
      </c>
      <c r="J26" s="3">
        <v>374.75</v>
      </c>
      <c r="K26" s="31" t="str">
        <f t="shared" si="1"/>
        <v>May-2024</v>
      </c>
      <c r="L26" s="31"/>
      <c r="M26" s="31"/>
      <c r="P26" s="38">
        <f>SUMIFS(E:E,K:K,"Jul-2024")</f>
        <v>11609.039999999999</v>
      </c>
    </row>
    <row r="27" spans="1:26" ht="15.75" customHeight="1">
      <c r="A27" s="3" t="s">
        <v>149</v>
      </c>
      <c r="B27" s="3" t="s">
        <v>35</v>
      </c>
      <c r="C27" s="3" t="s">
        <v>17</v>
      </c>
      <c r="D27" s="3" t="s">
        <v>18</v>
      </c>
      <c r="E27" s="3">
        <v>1173.1199999999999</v>
      </c>
      <c r="F27" s="3">
        <v>18</v>
      </c>
      <c r="G27" s="3">
        <f t="shared" si="0"/>
        <v>1173.1199999999999</v>
      </c>
      <c r="H27" s="3">
        <v>0</v>
      </c>
      <c r="I27" s="4">
        <v>45418</v>
      </c>
      <c r="J27" s="3">
        <v>293.27999999999997</v>
      </c>
      <c r="K27" s="31" t="str">
        <f t="shared" si="1"/>
        <v>May-2024</v>
      </c>
      <c r="L27" s="31"/>
      <c r="M27" s="31"/>
      <c r="P27" s="38">
        <f>SUMIFS(E:E,K:K,"Aug-2024")</f>
        <v>10091.699999999999</v>
      </c>
    </row>
    <row r="28" spans="1:26" ht="15.75" customHeight="1">
      <c r="A28" s="3" t="s">
        <v>150</v>
      </c>
      <c r="B28" s="3" t="s">
        <v>36</v>
      </c>
      <c r="C28" s="3" t="s">
        <v>20</v>
      </c>
      <c r="D28" s="3" t="s">
        <v>22</v>
      </c>
      <c r="E28" s="3">
        <v>675.54</v>
      </c>
      <c r="F28" s="3">
        <v>17</v>
      </c>
      <c r="G28" s="3">
        <f t="shared" si="0"/>
        <v>675.54</v>
      </c>
      <c r="H28" s="3">
        <v>0</v>
      </c>
      <c r="I28" s="4">
        <v>45420</v>
      </c>
      <c r="J28" s="3">
        <v>236.44</v>
      </c>
      <c r="K28" s="31" t="str">
        <f t="shared" si="1"/>
        <v>May-2024</v>
      </c>
      <c r="L28" s="31"/>
      <c r="M28" s="31"/>
      <c r="P28" s="38">
        <f>SUMIFS(E:E,K:K,"Sep-2024")</f>
        <v>20533.499999999996</v>
      </c>
    </row>
    <row r="29" spans="1:26" ht="15.75" customHeight="1">
      <c r="A29" s="3" t="s">
        <v>151</v>
      </c>
      <c r="B29" s="3" t="s">
        <v>13</v>
      </c>
      <c r="C29" s="3" t="s">
        <v>26</v>
      </c>
      <c r="D29" s="3" t="s">
        <v>12</v>
      </c>
      <c r="E29" s="3">
        <v>939.09</v>
      </c>
      <c r="F29" s="3">
        <v>2</v>
      </c>
      <c r="G29" s="3">
        <f t="shared" si="0"/>
        <v>939.09</v>
      </c>
      <c r="H29" s="3">
        <v>0.05</v>
      </c>
      <c r="I29" s="4">
        <v>45422</v>
      </c>
      <c r="J29" s="3">
        <v>356.85</v>
      </c>
      <c r="K29" s="31" t="str">
        <f t="shared" si="1"/>
        <v>May-2024</v>
      </c>
      <c r="L29" s="31"/>
      <c r="M29" s="31"/>
      <c r="P29" s="38">
        <f>SUMIFS(E:E,K:K,"Oct-2024")</f>
        <v>14215.240000000002</v>
      </c>
    </row>
    <row r="30" spans="1:26" ht="15.75" customHeight="1">
      <c r="A30" s="3" t="s">
        <v>152</v>
      </c>
      <c r="B30" s="3" t="s">
        <v>37</v>
      </c>
      <c r="C30" s="3" t="s">
        <v>16</v>
      </c>
      <c r="D30" s="3" t="s">
        <v>29</v>
      </c>
      <c r="E30" s="3">
        <v>983.34</v>
      </c>
      <c r="F30" s="3">
        <v>19</v>
      </c>
      <c r="G30" s="3">
        <f t="shared" si="0"/>
        <v>983.34</v>
      </c>
      <c r="H30" s="3">
        <v>0.1</v>
      </c>
      <c r="I30" s="4">
        <v>45426</v>
      </c>
      <c r="J30" s="3">
        <v>398.25</v>
      </c>
      <c r="K30" s="31" t="str">
        <f t="shared" si="1"/>
        <v>May-2024</v>
      </c>
      <c r="L30" s="31"/>
      <c r="M30" s="31"/>
      <c r="P30" s="38">
        <f>SUMIFS(E:E,K:K,"Nov-2024")</f>
        <v>20135.030000000002</v>
      </c>
    </row>
    <row r="31" spans="1:26" ht="15.75" customHeight="1">
      <c r="A31" s="3" t="s">
        <v>153</v>
      </c>
      <c r="B31" s="3" t="s">
        <v>19</v>
      </c>
      <c r="C31" s="3" t="s">
        <v>17</v>
      </c>
      <c r="D31" s="3" t="s">
        <v>18</v>
      </c>
      <c r="E31" s="3">
        <v>801.21</v>
      </c>
      <c r="F31" s="3">
        <v>3</v>
      </c>
      <c r="G31" s="3">
        <f t="shared" si="0"/>
        <v>801.21</v>
      </c>
      <c r="H31" s="3">
        <v>0.2</v>
      </c>
      <c r="I31" s="4">
        <v>45426</v>
      </c>
      <c r="J31" s="3">
        <v>160.24</v>
      </c>
      <c r="K31" s="31" t="str">
        <f t="shared" si="1"/>
        <v>May-2024</v>
      </c>
      <c r="L31" s="31"/>
      <c r="M31" s="31"/>
      <c r="P31" s="38">
        <f>SUMIFS(E:E,K:K,"Dec-2024")</f>
        <v>11120.04</v>
      </c>
    </row>
    <row r="32" spans="1:26" ht="15.75" customHeight="1">
      <c r="A32" s="3" t="s">
        <v>154</v>
      </c>
      <c r="B32" s="3" t="s">
        <v>38</v>
      </c>
      <c r="C32" s="3" t="s">
        <v>20</v>
      </c>
      <c r="D32" s="3" t="s">
        <v>18</v>
      </c>
      <c r="E32" s="3">
        <v>1450.71</v>
      </c>
      <c r="F32" s="3">
        <v>5</v>
      </c>
      <c r="G32" s="3">
        <f t="shared" si="0"/>
        <v>1450.71</v>
      </c>
      <c r="H32" s="3">
        <v>0.1</v>
      </c>
      <c r="I32" s="4">
        <v>45427</v>
      </c>
      <c r="J32" s="3">
        <v>326.41000000000003</v>
      </c>
      <c r="K32" s="31" t="str">
        <f t="shared" si="1"/>
        <v>May-2024</v>
      </c>
      <c r="L32" s="31"/>
      <c r="M32" s="31"/>
      <c r="P32" s="38">
        <f>SUMIFS(E:E,K:K,"Jan-2025")</f>
        <v>14914.650000000001</v>
      </c>
    </row>
    <row r="33" spans="1:16" ht="15.75" customHeight="1">
      <c r="A33" s="3" t="s">
        <v>155</v>
      </c>
      <c r="B33" s="3" t="s">
        <v>39</v>
      </c>
      <c r="C33" s="3" t="s">
        <v>26</v>
      </c>
      <c r="D33" s="3" t="s">
        <v>12</v>
      </c>
      <c r="E33" s="3">
        <v>1023.21</v>
      </c>
      <c r="F33" s="3">
        <v>18</v>
      </c>
      <c r="G33" s="3">
        <f t="shared" si="0"/>
        <v>1023.21</v>
      </c>
      <c r="H33" s="3">
        <v>0.05</v>
      </c>
      <c r="I33" s="4">
        <v>45428</v>
      </c>
      <c r="J33" s="3">
        <v>388.82</v>
      </c>
      <c r="K33" s="31" t="str">
        <f t="shared" si="1"/>
        <v>May-2024</v>
      </c>
      <c r="L33" s="31"/>
      <c r="M33" s="31"/>
      <c r="P33" s="38">
        <f>SUMIFS(E:E,K:K,"Feb-2025")</f>
        <v>14006.359999999999</v>
      </c>
    </row>
    <row r="34" spans="1:16" ht="15.75" customHeight="1">
      <c r="A34" s="3" t="s">
        <v>156</v>
      </c>
      <c r="B34" s="3" t="s">
        <v>33</v>
      </c>
      <c r="C34" s="3" t="s">
        <v>11</v>
      </c>
      <c r="D34" s="3" t="s">
        <v>22</v>
      </c>
      <c r="E34" s="3">
        <v>853.72</v>
      </c>
      <c r="F34" s="3">
        <v>5</v>
      </c>
      <c r="G34" s="3">
        <f t="shared" si="0"/>
        <v>853.72</v>
      </c>
      <c r="H34" s="3">
        <v>0.15</v>
      </c>
      <c r="I34" s="4">
        <v>45428</v>
      </c>
      <c r="J34" s="3">
        <v>253.98</v>
      </c>
      <c r="K34" s="31" t="str">
        <f t="shared" si="1"/>
        <v>May-2024</v>
      </c>
      <c r="L34" s="31"/>
      <c r="M34" s="31"/>
      <c r="P34" s="38">
        <f>SUMIFS(E:E,K:K,"Mar-2025")</f>
        <v>17655.219999999998</v>
      </c>
    </row>
    <row r="35" spans="1:16" ht="15.75" customHeight="1">
      <c r="A35" s="3" t="s">
        <v>157</v>
      </c>
      <c r="B35" s="3" t="s">
        <v>31</v>
      </c>
      <c r="C35" s="3" t="s">
        <v>17</v>
      </c>
      <c r="D35" s="3" t="s">
        <v>18</v>
      </c>
      <c r="E35" s="3">
        <v>967.89</v>
      </c>
      <c r="F35" s="3">
        <v>10</v>
      </c>
      <c r="G35" s="3">
        <f t="shared" si="0"/>
        <v>967.89</v>
      </c>
      <c r="H35" s="3">
        <v>0.1</v>
      </c>
      <c r="I35" s="4">
        <v>45429</v>
      </c>
      <c r="J35" s="3">
        <v>217.78</v>
      </c>
      <c r="K35" s="31" t="str">
        <f t="shared" si="1"/>
        <v>May-2024</v>
      </c>
      <c r="L35" s="31"/>
      <c r="M35" s="31"/>
      <c r="P35" s="38">
        <f>SUMIFS(E:E,K:K,"Apr-2025")</f>
        <v>3212.17</v>
      </c>
    </row>
    <row r="36" spans="1:16" ht="15.75" customHeight="1">
      <c r="A36" s="3" t="s">
        <v>158</v>
      </c>
      <c r="B36" s="3" t="s">
        <v>37</v>
      </c>
      <c r="C36" s="3" t="s">
        <v>20</v>
      </c>
      <c r="D36" s="3" t="s">
        <v>29</v>
      </c>
      <c r="E36" s="3">
        <v>1200.9000000000001</v>
      </c>
      <c r="F36" s="3">
        <v>14</v>
      </c>
      <c r="G36" s="3">
        <f t="shared" si="0"/>
        <v>1200.9000000000001</v>
      </c>
      <c r="H36" s="3">
        <v>0.05</v>
      </c>
      <c r="I36" s="4">
        <v>45429</v>
      </c>
      <c r="J36" s="3">
        <v>513.38</v>
      </c>
      <c r="K36" s="31" t="str">
        <f t="shared" si="1"/>
        <v>May-2024</v>
      </c>
      <c r="L36" s="31"/>
      <c r="M36" s="31"/>
    </row>
    <row r="37" spans="1:16" ht="15.75" customHeight="1">
      <c r="A37" s="3" t="s">
        <v>159</v>
      </c>
      <c r="B37" s="3" t="s">
        <v>21</v>
      </c>
      <c r="C37" s="3" t="s">
        <v>11</v>
      </c>
      <c r="D37" s="3" t="s">
        <v>12</v>
      </c>
      <c r="E37" s="3">
        <v>472.38</v>
      </c>
      <c r="F37" s="3">
        <v>12</v>
      </c>
      <c r="G37" s="3">
        <f t="shared" si="0"/>
        <v>472.38</v>
      </c>
      <c r="H37" s="3">
        <v>0.2</v>
      </c>
      <c r="I37" s="4">
        <v>45429</v>
      </c>
      <c r="J37" s="3">
        <v>151.16</v>
      </c>
      <c r="K37" s="31" t="str">
        <f t="shared" si="1"/>
        <v>May-2024</v>
      </c>
      <c r="L37" s="31"/>
      <c r="M37" s="31"/>
    </row>
    <row r="38" spans="1:16" ht="15.75" customHeight="1">
      <c r="A38" s="3" t="s">
        <v>160</v>
      </c>
      <c r="B38" s="3" t="s">
        <v>38</v>
      </c>
      <c r="C38" s="3" t="s">
        <v>16</v>
      </c>
      <c r="D38" s="3" t="s">
        <v>29</v>
      </c>
      <c r="E38" s="3">
        <v>840.92</v>
      </c>
      <c r="F38" s="3">
        <v>9</v>
      </c>
      <c r="G38" s="3">
        <f t="shared" si="0"/>
        <v>840.92</v>
      </c>
      <c r="H38" s="3">
        <v>0.05</v>
      </c>
      <c r="I38" s="4">
        <v>45429</v>
      </c>
      <c r="J38" s="3">
        <v>359.49</v>
      </c>
      <c r="K38" s="31" t="str">
        <f t="shared" si="1"/>
        <v>May-2024</v>
      </c>
      <c r="L38" s="31"/>
      <c r="M38" s="31"/>
    </row>
    <row r="39" spans="1:16" ht="15.75" customHeight="1">
      <c r="A39" s="3" t="s">
        <v>161</v>
      </c>
      <c r="B39" s="3" t="s">
        <v>34</v>
      </c>
      <c r="C39" s="3" t="s">
        <v>26</v>
      </c>
      <c r="D39" s="3" t="s">
        <v>22</v>
      </c>
      <c r="E39" s="3">
        <v>1410.06</v>
      </c>
      <c r="F39" s="3">
        <v>11</v>
      </c>
      <c r="G39" s="3">
        <f t="shared" si="0"/>
        <v>1410.06</v>
      </c>
      <c r="H39" s="3">
        <v>0.05</v>
      </c>
      <c r="I39" s="4">
        <v>45434</v>
      </c>
      <c r="J39" s="3">
        <v>468.84</v>
      </c>
      <c r="K39" s="31" t="str">
        <f t="shared" si="1"/>
        <v>May-2024</v>
      </c>
      <c r="L39" s="31"/>
      <c r="M39" s="31"/>
    </row>
    <row r="40" spans="1:16" ht="15.75" customHeight="1">
      <c r="A40" s="3" t="s">
        <v>162</v>
      </c>
      <c r="B40" s="3" t="s">
        <v>40</v>
      </c>
      <c r="C40" s="3" t="s">
        <v>26</v>
      </c>
      <c r="D40" s="3" t="s">
        <v>22</v>
      </c>
      <c r="E40" s="3">
        <v>773.09</v>
      </c>
      <c r="F40" s="3">
        <v>13</v>
      </c>
      <c r="G40" s="3">
        <f t="shared" si="0"/>
        <v>773.09</v>
      </c>
      <c r="H40" s="3">
        <v>0.15</v>
      </c>
      <c r="I40" s="4">
        <v>45434</v>
      </c>
      <c r="J40" s="3">
        <v>229.99</v>
      </c>
      <c r="K40" s="31" t="str">
        <f t="shared" si="1"/>
        <v>May-2024</v>
      </c>
      <c r="L40" s="31"/>
      <c r="M40" s="31"/>
    </row>
    <row r="41" spans="1:16" ht="15.75" customHeight="1">
      <c r="A41" s="3" t="s">
        <v>163</v>
      </c>
      <c r="B41" s="3" t="s">
        <v>41</v>
      </c>
      <c r="C41" s="3" t="s">
        <v>16</v>
      </c>
      <c r="D41" s="3" t="s">
        <v>12</v>
      </c>
      <c r="E41" s="3">
        <v>580.42999999999995</v>
      </c>
      <c r="F41" s="3">
        <v>19</v>
      </c>
      <c r="G41" s="3">
        <f t="shared" si="0"/>
        <v>580.42999999999995</v>
      </c>
      <c r="H41" s="3">
        <v>0.15</v>
      </c>
      <c r="I41" s="4">
        <v>45435</v>
      </c>
      <c r="J41" s="3">
        <v>197.35</v>
      </c>
      <c r="K41" s="31" t="str">
        <f t="shared" si="1"/>
        <v>May-2024</v>
      </c>
      <c r="L41" s="31"/>
      <c r="M41" s="31"/>
    </row>
    <row r="42" spans="1:16" ht="15.75" customHeight="1">
      <c r="A42" s="3" t="s">
        <v>164</v>
      </c>
      <c r="B42" s="3" t="s">
        <v>30</v>
      </c>
      <c r="C42" s="3" t="s">
        <v>17</v>
      </c>
      <c r="D42" s="3" t="s">
        <v>12</v>
      </c>
      <c r="E42" s="3">
        <v>1151.21</v>
      </c>
      <c r="F42" s="3">
        <v>15</v>
      </c>
      <c r="G42" s="3">
        <f t="shared" si="0"/>
        <v>1151.21</v>
      </c>
      <c r="H42" s="3">
        <v>0.1</v>
      </c>
      <c r="I42" s="4">
        <v>45445</v>
      </c>
      <c r="J42" s="3">
        <v>414.44</v>
      </c>
      <c r="K42" s="31" t="str">
        <f t="shared" si="1"/>
        <v>Jun-2024</v>
      </c>
      <c r="L42" s="31"/>
      <c r="M42" s="31"/>
    </row>
    <row r="43" spans="1:16" ht="15.75" customHeight="1">
      <c r="A43" s="3" t="s">
        <v>165</v>
      </c>
      <c r="B43" s="3" t="s">
        <v>19</v>
      </c>
      <c r="C43" s="3" t="s">
        <v>26</v>
      </c>
      <c r="D43" s="3" t="s">
        <v>29</v>
      </c>
      <c r="E43" s="3">
        <v>1025.98</v>
      </c>
      <c r="F43" s="3">
        <v>5</v>
      </c>
      <c r="G43" s="3">
        <f t="shared" si="0"/>
        <v>1025.98</v>
      </c>
      <c r="H43" s="3">
        <v>0.2</v>
      </c>
      <c r="I43" s="4">
        <v>45447</v>
      </c>
      <c r="J43" s="3">
        <v>369.35</v>
      </c>
      <c r="K43" s="31" t="str">
        <f t="shared" si="1"/>
        <v>Jun-2024</v>
      </c>
      <c r="L43" s="31"/>
      <c r="M43" s="31"/>
    </row>
    <row r="44" spans="1:16" ht="15.75" customHeight="1">
      <c r="A44" s="3" t="s">
        <v>166</v>
      </c>
      <c r="B44" s="3" t="s">
        <v>39</v>
      </c>
      <c r="C44" s="3" t="s">
        <v>16</v>
      </c>
      <c r="D44" s="3" t="s">
        <v>29</v>
      </c>
      <c r="E44" s="3">
        <v>556.41999999999996</v>
      </c>
      <c r="F44" s="3">
        <v>11</v>
      </c>
      <c r="G44" s="3">
        <f t="shared" si="0"/>
        <v>556.41999999999996</v>
      </c>
      <c r="H44" s="3">
        <v>0.15</v>
      </c>
      <c r="I44" s="4">
        <v>45447</v>
      </c>
      <c r="J44" s="3">
        <v>212.83</v>
      </c>
      <c r="K44" s="31" t="str">
        <f t="shared" si="1"/>
        <v>Jun-2024</v>
      </c>
      <c r="L44" s="31"/>
      <c r="M44" s="31"/>
    </row>
    <row r="45" spans="1:16" ht="15.75" customHeight="1">
      <c r="A45" s="3" t="s">
        <v>167</v>
      </c>
      <c r="B45" s="3" t="s">
        <v>19</v>
      </c>
      <c r="C45" s="3" t="s">
        <v>26</v>
      </c>
      <c r="D45" s="3" t="s">
        <v>12</v>
      </c>
      <c r="E45" s="3">
        <v>840.85</v>
      </c>
      <c r="F45" s="3">
        <v>19</v>
      </c>
      <c r="G45" s="3">
        <f t="shared" si="0"/>
        <v>840.85</v>
      </c>
      <c r="H45" s="3">
        <v>0.1</v>
      </c>
      <c r="I45" s="4">
        <v>45448</v>
      </c>
      <c r="J45" s="3">
        <v>302.70999999999998</v>
      </c>
      <c r="K45" s="31" t="str">
        <f t="shared" si="1"/>
        <v>Jun-2024</v>
      </c>
      <c r="L45" s="31"/>
      <c r="M45" s="31"/>
    </row>
    <row r="46" spans="1:16" ht="15.75" customHeight="1">
      <c r="A46" s="3" t="s">
        <v>168</v>
      </c>
      <c r="B46" s="3" t="s">
        <v>41</v>
      </c>
      <c r="C46" s="3" t="s">
        <v>20</v>
      </c>
      <c r="D46" s="3" t="s">
        <v>22</v>
      </c>
      <c r="E46" s="3">
        <v>1227.25</v>
      </c>
      <c r="F46" s="3">
        <v>12</v>
      </c>
      <c r="G46" s="3">
        <f t="shared" si="0"/>
        <v>1227.25</v>
      </c>
      <c r="H46" s="3">
        <v>0.15</v>
      </c>
      <c r="I46" s="4">
        <v>45448</v>
      </c>
      <c r="J46" s="3">
        <v>365.11</v>
      </c>
      <c r="K46" s="31" t="str">
        <f t="shared" si="1"/>
        <v>Jun-2024</v>
      </c>
      <c r="L46" s="31"/>
      <c r="M46" s="31"/>
    </row>
    <row r="47" spans="1:16" ht="15.75" customHeight="1">
      <c r="A47" s="3" t="s">
        <v>169</v>
      </c>
      <c r="B47" s="3" t="s">
        <v>42</v>
      </c>
      <c r="C47" s="3" t="s">
        <v>26</v>
      </c>
      <c r="D47" s="3" t="s">
        <v>18</v>
      </c>
      <c r="E47" s="3">
        <v>856.7</v>
      </c>
      <c r="F47" s="3">
        <v>2</v>
      </c>
      <c r="G47" s="3">
        <f t="shared" si="0"/>
        <v>856.7</v>
      </c>
      <c r="H47" s="3">
        <v>0</v>
      </c>
      <c r="I47" s="4">
        <v>45449</v>
      </c>
      <c r="J47" s="3">
        <v>214.18</v>
      </c>
      <c r="K47" s="31" t="str">
        <f t="shared" si="1"/>
        <v>Jun-2024</v>
      </c>
      <c r="L47" s="31"/>
      <c r="M47" s="31"/>
    </row>
    <row r="48" spans="1:16" ht="15.75" customHeight="1">
      <c r="A48" s="3" t="s">
        <v>170</v>
      </c>
      <c r="B48" s="3" t="s">
        <v>39</v>
      </c>
      <c r="C48" s="3" t="s">
        <v>26</v>
      </c>
      <c r="D48" s="3" t="s">
        <v>29</v>
      </c>
      <c r="E48" s="3">
        <v>1225.42</v>
      </c>
      <c r="F48" s="3">
        <v>8</v>
      </c>
      <c r="G48" s="3">
        <f t="shared" si="0"/>
        <v>1225.42</v>
      </c>
      <c r="H48" s="3">
        <v>0.15</v>
      </c>
      <c r="I48" s="4">
        <v>45449</v>
      </c>
      <c r="J48" s="3">
        <v>468.72</v>
      </c>
      <c r="K48" s="31" t="str">
        <f t="shared" si="1"/>
        <v>Jun-2024</v>
      </c>
      <c r="L48" s="31"/>
      <c r="M48" s="31"/>
    </row>
    <row r="49" spans="1:13" ht="15.75" customHeight="1">
      <c r="A49" s="3" t="s">
        <v>171</v>
      </c>
      <c r="B49" s="3" t="s">
        <v>24</v>
      </c>
      <c r="C49" s="3" t="s">
        <v>20</v>
      </c>
      <c r="D49" s="3" t="s">
        <v>29</v>
      </c>
      <c r="E49" s="3">
        <v>1001.57</v>
      </c>
      <c r="F49" s="3">
        <v>12</v>
      </c>
      <c r="G49" s="3">
        <f t="shared" si="0"/>
        <v>1001.57</v>
      </c>
      <c r="H49" s="3">
        <v>0</v>
      </c>
      <c r="I49" s="4">
        <v>45450</v>
      </c>
      <c r="J49" s="3">
        <v>450.71</v>
      </c>
      <c r="K49" s="31" t="str">
        <f t="shared" si="1"/>
        <v>Jun-2024</v>
      </c>
      <c r="L49" s="31"/>
      <c r="M49" s="31"/>
    </row>
    <row r="50" spans="1:13" ht="15.75" customHeight="1">
      <c r="A50" s="3" t="s">
        <v>172</v>
      </c>
      <c r="B50" s="3" t="s">
        <v>21</v>
      </c>
      <c r="C50" s="3" t="s">
        <v>16</v>
      </c>
      <c r="D50" s="3" t="s">
        <v>22</v>
      </c>
      <c r="E50" s="3">
        <v>1186.8499999999999</v>
      </c>
      <c r="F50" s="3">
        <v>19</v>
      </c>
      <c r="G50" s="3">
        <f t="shared" si="0"/>
        <v>1186.8499999999999</v>
      </c>
      <c r="H50" s="3">
        <v>0.2</v>
      </c>
      <c r="I50" s="4">
        <v>45451</v>
      </c>
      <c r="J50" s="3">
        <v>332.32</v>
      </c>
      <c r="K50" s="31" t="str">
        <f t="shared" si="1"/>
        <v>Jun-2024</v>
      </c>
      <c r="L50" s="31"/>
      <c r="M50" s="31"/>
    </row>
    <row r="51" spans="1:13" ht="15.75" customHeight="1">
      <c r="A51" s="3" t="s">
        <v>173</v>
      </c>
      <c r="B51" s="3" t="s">
        <v>36</v>
      </c>
      <c r="C51" s="3" t="s">
        <v>17</v>
      </c>
      <c r="D51" s="3" t="s">
        <v>18</v>
      </c>
      <c r="E51" s="3">
        <v>775.45</v>
      </c>
      <c r="F51" s="3">
        <v>6</v>
      </c>
      <c r="G51" s="3">
        <f t="shared" si="0"/>
        <v>775.45</v>
      </c>
      <c r="H51" s="3">
        <v>0.1</v>
      </c>
      <c r="I51" s="4">
        <v>45457</v>
      </c>
      <c r="J51" s="3">
        <v>174.48</v>
      </c>
      <c r="K51" s="31" t="str">
        <f t="shared" si="1"/>
        <v>Jun-2024</v>
      </c>
      <c r="L51" s="31"/>
      <c r="M51" s="31"/>
    </row>
    <row r="52" spans="1:13" ht="15.75" customHeight="1">
      <c r="A52" s="3" t="s">
        <v>174</v>
      </c>
      <c r="B52" s="3" t="s">
        <v>25</v>
      </c>
      <c r="C52" s="3" t="s">
        <v>17</v>
      </c>
      <c r="D52" s="3" t="s">
        <v>18</v>
      </c>
      <c r="E52" s="3">
        <v>1021.47</v>
      </c>
      <c r="F52" s="3">
        <v>6</v>
      </c>
      <c r="G52" s="3">
        <f t="shared" si="0"/>
        <v>1021.47</v>
      </c>
      <c r="H52" s="3">
        <v>0.05</v>
      </c>
      <c r="I52" s="4">
        <v>45461</v>
      </c>
      <c r="J52" s="3">
        <v>242.6</v>
      </c>
      <c r="K52" s="31" t="str">
        <f t="shared" si="1"/>
        <v>Jun-2024</v>
      </c>
      <c r="L52" s="31"/>
      <c r="M52" s="31"/>
    </row>
    <row r="53" spans="1:13" ht="15.75" customHeight="1">
      <c r="A53" s="3" t="s">
        <v>175</v>
      </c>
      <c r="B53" s="3" t="s">
        <v>19</v>
      </c>
      <c r="C53" s="3" t="s">
        <v>17</v>
      </c>
      <c r="D53" s="3" t="s">
        <v>14</v>
      </c>
      <c r="E53" s="3">
        <v>1226.6199999999999</v>
      </c>
      <c r="F53" s="3">
        <v>7</v>
      </c>
      <c r="G53" s="3">
        <f t="shared" si="0"/>
        <v>1226.6199999999999</v>
      </c>
      <c r="H53" s="3">
        <v>0.1</v>
      </c>
      <c r="I53" s="4">
        <v>45463</v>
      </c>
      <c r="J53" s="3">
        <v>551.98</v>
      </c>
      <c r="K53" s="31" t="str">
        <f t="shared" si="1"/>
        <v>Jun-2024</v>
      </c>
      <c r="L53" s="31"/>
      <c r="M53" s="31"/>
    </row>
    <row r="54" spans="1:13" ht="15.75" customHeight="1">
      <c r="A54" s="3" t="s">
        <v>176</v>
      </c>
      <c r="B54" s="3" t="s">
        <v>43</v>
      </c>
      <c r="C54" s="3" t="s">
        <v>17</v>
      </c>
      <c r="D54" s="3" t="s">
        <v>22</v>
      </c>
      <c r="E54" s="3">
        <v>1086.93</v>
      </c>
      <c r="F54" s="3">
        <v>2</v>
      </c>
      <c r="G54" s="3">
        <f t="shared" si="0"/>
        <v>1086.93</v>
      </c>
      <c r="H54" s="3">
        <v>0</v>
      </c>
      <c r="I54" s="4">
        <v>45464</v>
      </c>
      <c r="J54" s="3">
        <v>380.43</v>
      </c>
      <c r="K54" s="31" t="str">
        <f t="shared" si="1"/>
        <v>Jun-2024</v>
      </c>
      <c r="L54" s="31"/>
      <c r="M54" s="31"/>
    </row>
    <row r="55" spans="1:13" ht="15.75" customHeight="1">
      <c r="A55" s="3" t="s">
        <v>177</v>
      </c>
      <c r="B55" s="3" t="s">
        <v>34</v>
      </c>
      <c r="C55" s="3" t="s">
        <v>11</v>
      </c>
      <c r="D55" s="3" t="s">
        <v>12</v>
      </c>
      <c r="E55" s="3">
        <v>942.9</v>
      </c>
      <c r="F55" s="3">
        <v>18</v>
      </c>
      <c r="G55" s="3">
        <f t="shared" si="0"/>
        <v>942.9</v>
      </c>
      <c r="H55" s="3">
        <v>0.1</v>
      </c>
      <c r="I55" s="4">
        <v>45466</v>
      </c>
      <c r="J55" s="3">
        <v>339.44</v>
      </c>
      <c r="K55" s="31" t="str">
        <f t="shared" si="1"/>
        <v>Jun-2024</v>
      </c>
      <c r="L55" s="31"/>
      <c r="M55" s="31"/>
    </row>
    <row r="56" spans="1:13" ht="15.75" customHeight="1">
      <c r="A56" s="3" t="s">
        <v>178</v>
      </c>
      <c r="B56" s="3" t="s">
        <v>28</v>
      </c>
      <c r="C56" s="3" t="s">
        <v>20</v>
      </c>
      <c r="D56" s="3" t="s">
        <v>18</v>
      </c>
      <c r="E56" s="3">
        <v>818.8</v>
      </c>
      <c r="F56" s="3">
        <v>15</v>
      </c>
      <c r="G56" s="3">
        <f t="shared" si="0"/>
        <v>818.8</v>
      </c>
      <c r="H56" s="3">
        <v>0.15</v>
      </c>
      <c r="I56" s="4">
        <v>45468</v>
      </c>
      <c r="J56" s="3">
        <v>173.99</v>
      </c>
      <c r="K56" s="31" t="str">
        <f t="shared" si="1"/>
        <v>Jun-2024</v>
      </c>
      <c r="L56" s="31"/>
      <c r="M56" s="31"/>
    </row>
    <row r="57" spans="1:13" ht="15.75" customHeight="1">
      <c r="A57" s="3" t="s">
        <v>179</v>
      </c>
      <c r="B57" s="3" t="s">
        <v>13</v>
      </c>
      <c r="C57" s="3" t="s">
        <v>17</v>
      </c>
      <c r="D57" s="3" t="s">
        <v>22</v>
      </c>
      <c r="E57" s="3">
        <v>919.04</v>
      </c>
      <c r="F57" s="3">
        <v>10</v>
      </c>
      <c r="G57" s="3">
        <f t="shared" si="0"/>
        <v>919.04</v>
      </c>
      <c r="H57" s="3">
        <v>0.2</v>
      </c>
      <c r="I57" s="4">
        <v>45468</v>
      </c>
      <c r="J57" s="3">
        <v>257.33</v>
      </c>
      <c r="K57" s="31" t="str">
        <f t="shared" si="1"/>
        <v>Jun-2024</v>
      </c>
      <c r="L57" s="31"/>
      <c r="M57" s="31"/>
    </row>
    <row r="58" spans="1:13" ht="15.75" customHeight="1">
      <c r="A58" s="3" t="s">
        <v>180</v>
      </c>
      <c r="B58" s="3" t="s">
        <v>44</v>
      </c>
      <c r="C58" s="3" t="s">
        <v>26</v>
      </c>
      <c r="D58" s="3" t="s">
        <v>12</v>
      </c>
      <c r="E58" s="3">
        <v>973.26</v>
      </c>
      <c r="F58" s="3">
        <v>11</v>
      </c>
      <c r="G58" s="3">
        <f t="shared" si="0"/>
        <v>973.26</v>
      </c>
      <c r="H58" s="3">
        <v>0</v>
      </c>
      <c r="I58" s="4">
        <v>45470</v>
      </c>
      <c r="J58" s="3">
        <v>389.3</v>
      </c>
      <c r="K58" s="31" t="str">
        <f t="shared" si="1"/>
        <v>Jun-2024</v>
      </c>
      <c r="L58" s="31"/>
      <c r="M58" s="31"/>
    </row>
    <row r="59" spans="1:13" ht="15.75" customHeight="1">
      <c r="A59" s="3" t="s">
        <v>181</v>
      </c>
      <c r="B59" s="3" t="s">
        <v>43</v>
      </c>
      <c r="C59" s="3" t="s">
        <v>20</v>
      </c>
      <c r="D59" s="3" t="s">
        <v>18</v>
      </c>
      <c r="E59" s="3">
        <v>741.61</v>
      </c>
      <c r="F59" s="3">
        <v>1</v>
      </c>
      <c r="G59" s="3">
        <f t="shared" si="0"/>
        <v>741.61</v>
      </c>
      <c r="H59" s="3">
        <v>0.2</v>
      </c>
      <c r="I59" s="4">
        <v>45471</v>
      </c>
      <c r="J59" s="3">
        <v>148.32</v>
      </c>
      <c r="K59" s="31" t="str">
        <f t="shared" si="1"/>
        <v>Jun-2024</v>
      </c>
      <c r="L59" s="31"/>
      <c r="M59" s="31"/>
    </row>
    <row r="60" spans="1:13" ht="15.75" customHeight="1">
      <c r="A60" s="3" t="s">
        <v>182</v>
      </c>
      <c r="B60" s="3" t="s">
        <v>28</v>
      </c>
      <c r="C60" s="3" t="s">
        <v>20</v>
      </c>
      <c r="D60" s="3" t="s">
        <v>12</v>
      </c>
      <c r="E60" s="3">
        <v>1248.82</v>
      </c>
      <c r="F60" s="3">
        <v>2</v>
      </c>
      <c r="G60" s="3">
        <f t="shared" si="0"/>
        <v>1248.82</v>
      </c>
      <c r="H60" s="3">
        <v>0.1</v>
      </c>
      <c r="I60" s="4">
        <v>45473</v>
      </c>
      <c r="J60" s="3">
        <v>449.58</v>
      </c>
      <c r="K60" s="31" t="str">
        <f t="shared" si="1"/>
        <v>Jun-2024</v>
      </c>
      <c r="L60" s="31"/>
      <c r="M60" s="31"/>
    </row>
    <row r="61" spans="1:13" ht="15.75" customHeight="1">
      <c r="A61" s="3" t="s">
        <v>183</v>
      </c>
      <c r="B61" s="3" t="s">
        <v>40</v>
      </c>
      <c r="C61" s="3" t="s">
        <v>11</v>
      </c>
      <c r="D61" s="3" t="s">
        <v>14</v>
      </c>
      <c r="E61" s="3">
        <v>1360.36</v>
      </c>
      <c r="F61" s="3">
        <v>17</v>
      </c>
      <c r="G61" s="3">
        <f t="shared" si="0"/>
        <v>1360.36</v>
      </c>
      <c r="H61" s="3">
        <v>0</v>
      </c>
      <c r="I61" s="4">
        <v>45473</v>
      </c>
      <c r="J61" s="3">
        <v>680.18</v>
      </c>
      <c r="K61" s="31" t="str">
        <f t="shared" si="1"/>
        <v>Jun-2024</v>
      </c>
      <c r="L61" s="31"/>
      <c r="M61" s="31"/>
    </row>
    <row r="62" spans="1:13" ht="15.75" customHeight="1">
      <c r="A62" s="3" t="s">
        <v>184</v>
      </c>
      <c r="B62" s="3" t="s">
        <v>24</v>
      </c>
      <c r="C62" s="3" t="s">
        <v>16</v>
      </c>
      <c r="D62" s="3" t="s">
        <v>12</v>
      </c>
      <c r="E62" s="3">
        <v>1383.3</v>
      </c>
      <c r="F62" s="3">
        <v>8</v>
      </c>
      <c r="G62" s="3">
        <f t="shared" si="0"/>
        <v>1383.3</v>
      </c>
      <c r="H62" s="3">
        <v>0.1</v>
      </c>
      <c r="I62" s="4">
        <v>45478</v>
      </c>
      <c r="J62" s="3">
        <v>497.99</v>
      </c>
      <c r="K62" s="31" t="str">
        <f t="shared" si="1"/>
        <v>Jul-2024</v>
      </c>
      <c r="L62" s="31"/>
      <c r="M62" s="31"/>
    </row>
    <row r="63" spans="1:13" ht="15.75" customHeight="1">
      <c r="A63" s="3" t="s">
        <v>185</v>
      </c>
      <c r="B63" s="3" t="s">
        <v>38</v>
      </c>
      <c r="C63" s="3" t="s">
        <v>26</v>
      </c>
      <c r="D63" s="3" t="s">
        <v>29</v>
      </c>
      <c r="E63" s="3">
        <v>488.99</v>
      </c>
      <c r="F63" s="3">
        <v>9</v>
      </c>
      <c r="G63" s="3">
        <f t="shared" si="0"/>
        <v>488.99</v>
      </c>
      <c r="H63" s="3">
        <v>0</v>
      </c>
      <c r="I63" s="4">
        <v>45479</v>
      </c>
      <c r="J63" s="3">
        <v>220.05</v>
      </c>
      <c r="K63" s="31" t="str">
        <f t="shared" si="1"/>
        <v>Jul-2024</v>
      </c>
      <c r="L63" s="31"/>
      <c r="M63" s="31"/>
    </row>
    <row r="64" spans="1:13" ht="15.75" customHeight="1">
      <c r="A64" s="3" t="s">
        <v>186</v>
      </c>
      <c r="B64" s="3" t="s">
        <v>24</v>
      </c>
      <c r="C64" s="3" t="s">
        <v>16</v>
      </c>
      <c r="D64" s="3" t="s">
        <v>22</v>
      </c>
      <c r="E64" s="3">
        <v>933.71</v>
      </c>
      <c r="F64" s="3">
        <v>17</v>
      </c>
      <c r="G64" s="3">
        <f t="shared" si="0"/>
        <v>933.71</v>
      </c>
      <c r="H64" s="3">
        <v>0.1</v>
      </c>
      <c r="I64" s="4">
        <v>45481</v>
      </c>
      <c r="J64" s="3">
        <v>294.12</v>
      </c>
      <c r="K64" s="31" t="str">
        <f t="shared" si="1"/>
        <v>Jul-2024</v>
      </c>
      <c r="L64" s="31"/>
      <c r="M64" s="31"/>
    </row>
    <row r="65" spans="1:13" ht="15.75" customHeight="1">
      <c r="A65" s="3" t="s">
        <v>187</v>
      </c>
      <c r="B65" s="3" t="s">
        <v>10</v>
      </c>
      <c r="C65" s="3" t="s">
        <v>11</v>
      </c>
      <c r="D65" s="3" t="s">
        <v>18</v>
      </c>
      <c r="E65" s="3">
        <v>1005.53</v>
      </c>
      <c r="F65" s="3">
        <v>17</v>
      </c>
      <c r="G65" s="3">
        <f t="shared" si="0"/>
        <v>1005.53</v>
      </c>
      <c r="H65" s="3">
        <v>0.2</v>
      </c>
      <c r="I65" s="4">
        <v>45481</v>
      </c>
      <c r="J65" s="3">
        <v>201.11</v>
      </c>
      <c r="K65" s="31" t="str">
        <f t="shared" si="1"/>
        <v>Jul-2024</v>
      </c>
      <c r="L65" s="31"/>
      <c r="M65" s="31"/>
    </row>
    <row r="66" spans="1:13" ht="15.75" customHeight="1">
      <c r="A66" s="3" t="s">
        <v>188</v>
      </c>
      <c r="B66" s="3" t="s">
        <v>41</v>
      </c>
      <c r="C66" s="3" t="s">
        <v>17</v>
      </c>
      <c r="D66" s="3" t="s">
        <v>18</v>
      </c>
      <c r="E66" s="3">
        <v>1100.0999999999999</v>
      </c>
      <c r="F66" s="3">
        <v>5</v>
      </c>
      <c r="G66" s="3">
        <f t="shared" si="0"/>
        <v>1100.0999999999999</v>
      </c>
      <c r="H66" s="3">
        <v>0.05</v>
      </c>
      <c r="I66" s="4">
        <v>45482</v>
      </c>
      <c r="J66" s="3">
        <v>261.27</v>
      </c>
      <c r="K66" s="31" t="str">
        <f t="shared" si="1"/>
        <v>Jul-2024</v>
      </c>
      <c r="L66" s="31"/>
      <c r="M66" s="31"/>
    </row>
    <row r="67" spans="1:13" ht="15.75" customHeight="1">
      <c r="A67" s="3" t="s">
        <v>189</v>
      </c>
      <c r="B67" s="3" t="s">
        <v>19</v>
      </c>
      <c r="C67" s="3" t="s">
        <v>20</v>
      </c>
      <c r="D67" s="3" t="s">
        <v>22</v>
      </c>
      <c r="E67" s="3">
        <v>1034.7</v>
      </c>
      <c r="F67" s="3">
        <v>15</v>
      </c>
      <c r="G67" s="3">
        <f t="shared" ref="G67:G130" si="2">SUMIF($A:$A,A67,$E:$E)</f>
        <v>1034.7</v>
      </c>
      <c r="H67" s="3">
        <v>0.15</v>
      </c>
      <c r="I67" s="4">
        <v>45487</v>
      </c>
      <c r="J67" s="3">
        <v>307.82</v>
      </c>
      <c r="K67" s="31" t="str">
        <f t="shared" ref="K67:K130" si="3">TEXT(I67, "MMM-YYYY")</f>
        <v>Jul-2024</v>
      </c>
      <c r="L67" s="31"/>
      <c r="M67" s="31"/>
    </row>
    <row r="68" spans="1:13" ht="15.75" customHeight="1">
      <c r="A68" s="3" t="s">
        <v>190</v>
      </c>
      <c r="B68" s="3" t="s">
        <v>24</v>
      </c>
      <c r="C68" s="3" t="s">
        <v>17</v>
      </c>
      <c r="D68" s="3" t="s">
        <v>12</v>
      </c>
      <c r="E68" s="3">
        <v>876.44</v>
      </c>
      <c r="F68" s="3">
        <v>12</v>
      </c>
      <c r="G68" s="3">
        <f t="shared" si="2"/>
        <v>876.44</v>
      </c>
      <c r="H68" s="3">
        <v>0.05</v>
      </c>
      <c r="I68" s="4">
        <v>45488</v>
      </c>
      <c r="J68" s="3">
        <v>333.05</v>
      </c>
      <c r="K68" s="31" t="str">
        <f t="shared" si="3"/>
        <v>Jul-2024</v>
      </c>
      <c r="L68" s="31"/>
      <c r="M68" s="31"/>
    </row>
    <row r="69" spans="1:13" ht="15.75" customHeight="1">
      <c r="A69" s="3" t="s">
        <v>191</v>
      </c>
      <c r="B69" s="3" t="s">
        <v>38</v>
      </c>
      <c r="C69" s="3" t="s">
        <v>11</v>
      </c>
      <c r="D69" s="3" t="s">
        <v>22</v>
      </c>
      <c r="E69" s="3">
        <v>1371.34</v>
      </c>
      <c r="F69" s="3">
        <v>5</v>
      </c>
      <c r="G69" s="3">
        <f t="shared" si="2"/>
        <v>1371.34</v>
      </c>
      <c r="H69" s="3">
        <v>0.05</v>
      </c>
      <c r="I69" s="4">
        <v>45488</v>
      </c>
      <c r="J69" s="3">
        <v>455.97</v>
      </c>
      <c r="K69" s="31" t="str">
        <f t="shared" si="3"/>
        <v>Jul-2024</v>
      </c>
      <c r="L69" s="31"/>
      <c r="M69" s="31"/>
    </row>
    <row r="70" spans="1:13" ht="15.75" customHeight="1">
      <c r="A70" s="3" t="s">
        <v>192</v>
      </c>
      <c r="B70" s="3" t="s">
        <v>33</v>
      </c>
      <c r="C70" s="3" t="s">
        <v>20</v>
      </c>
      <c r="D70" s="3" t="s">
        <v>18</v>
      </c>
      <c r="E70" s="3">
        <v>1020.26</v>
      </c>
      <c r="F70" s="3">
        <v>11</v>
      </c>
      <c r="G70" s="3">
        <f t="shared" si="2"/>
        <v>1020.26</v>
      </c>
      <c r="H70" s="3">
        <v>0.05</v>
      </c>
      <c r="I70" s="4">
        <v>45494</v>
      </c>
      <c r="J70" s="3">
        <v>242.31</v>
      </c>
      <c r="K70" s="31" t="str">
        <f t="shared" si="3"/>
        <v>Jul-2024</v>
      </c>
      <c r="L70" s="31"/>
      <c r="M70" s="31"/>
    </row>
    <row r="71" spans="1:13" ht="15.75" customHeight="1">
      <c r="A71" s="3" t="s">
        <v>193</v>
      </c>
      <c r="B71" s="3" t="s">
        <v>10</v>
      </c>
      <c r="C71" s="3" t="s">
        <v>26</v>
      </c>
      <c r="D71" s="3" t="s">
        <v>29</v>
      </c>
      <c r="E71" s="3">
        <v>804.81</v>
      </c>
      <c r="F71" s="3">
        <v>1</v>
      </c>
      <c r="G71" s="3">
        <f t="shared" si="2"/>
        <v>804.81</v>
      </c>
      <c r="H71" s="3">
        <v>0.05</v>
      </c>
      <c r="I71" s="4">
        <v>45502</v>
      </c>
      <c r="J71" s="3">
        <v>344.06</v>
      </c>
      <c r="K71" s="31" t="str">
        <f t="shared" si="3"/>
        <v>Jul-2024</v>
      </c>
      <c r="L71" s="31"/>
      <c r="M71" s="31"/>
    </row>
    <row r="72" spans="1:13" ht="15.75" customHeight="1">
      <c r="A72" s="3" t="s">
        <v>194</v>
      </c>
      <c r="B72" s="3" t="s">
        <v>38</v>
      </c>
      <c r="C72" s="3" t="s">
        <v>26</v>
      </c>
      <c r="D72" s="3" t="s">
        <v>18</v>
      </c>
      <c r="E72" s="3">
        <v>608.66</v>
      </c>
      <c r="F72" s="3">
        <v>1</v>
      </c>
      <c r="G72" s="3">
        <f t="shared" si="2"/>
        <v>608.66</v>
      </c>
      <c r="H72" s="3">
        <v>0.05</v>
      </c>
      <c r="I72" s="4">
        <v>45503</v>
      </c>
      <c r="J72" s="3">
        <v>144.56</v>
      </c>
      <c r="K72" s="31" t="str">
        <f t="shared" si="3"/>
        <v>Jul-2024</v>
      </c>
      <c r="L72" s="31"/>
      <c r="M72" s="31"/>
    </row>
    <row r="73" spans="1:13" ht="15.75" customHeight="1">
      <c r="A73" s="3" t="s">
        <v>195</v>
      </c>
      <c r="B73" s="3" t="s">
        <v>45</v>
      </c>
      <c r="C73" s="3" t="s">
        <v>17</v>
      </c>
      <c r="D73" s="3" t="s">
        <v>29</v>
      </c>
      <c r="E73" s="3">
        <v>981.2</v>
      </c>
      <c r="F73" s="3">
        <v>19</v>
      </c>
      <c r="G73" s="3">
        <f t="shared" si="2"/>
        <v>981.2</v>
      </c>
      <c r="H73" s="3">
        <v>0</v>
      </c>
      <c r="I73" s="4">
        <v>45504</v>
      </c>
      <c r="J73" s="3">
        <v>441.54</v>
      </c>
      <c r="K73" s="31" t="str">
        <f t="shared" si="3"/>
        <v>Jul-2024</v>
      </c>
      <c r="L73" s="31"/>
      <c r="M73" s="31"/>
    </row>
    <row r="74" spans="1:13" ht="15.75" customHeight="1">
      <c r="A74" s="3" t="s">
        <v>196</v>
      </c>
      <c r="B74" s="3" t="s">
        <v>38</v>
      </c>
      <c r="C74" s="3" t="s">
        <v>16</v>
      </c>
      <c r="D74" s="3" t="s">
        <v>18</v>
      </c>
      <c r="E74" s="3">
        <v>539.77</v>
      </c>
      <c r="F74" s="3">
        <v>10</v>
      </c>
      <c r="G74" s="3">
        <f t="shared" si="2"/>
        <v>539.77</v>
      </c>
      <c r="H74" s="3">
        <v>0.15</v>
      </c>
      <c r="I74" s="4">
        <v>45509</v>
      </c>
      <c r="J74" s="3">
        <v>114.7</v>
      </c>
      <c r="K74" s="31" t="str">
        <f t="shared" si="3"/>
        <v>Aug-2024</v>
      </c>
      <c r="L74" s="31"/>
      <c r="M74" s="31"/>
    </row>
    <row r="75" spans="1:13" ht="15.75" customHeight="1">
      <c r="A75" s="3" t="s">
        <v>197</v>
      </c>
      <c r="B75" s="3" t="s">
        <v>46</v>
      </c>
      <c r="C75" s="3" t="s">
        <v>17</v>
      </c>
      <c r="D75" s="3" t="s">
        <v>12</v>
      </c>
      <c r="E75" s="3">
        <v>804.45</v>
      </c>
      <c r="F75" s="3">
        <v>5</v>
      </c>
      <c r="G75" s="3">
        <f t="shared" si="2"/>
        <v>804.45</v>
      </c>
      <c r="H75" s="3">
        <v>0.2</v>
      </c>
      <c r="I75" s="4">
        <v>45509</v>
      </c>
      <c r="J75" s="3">
        <v>257.42</v>
      </c>
      <c r="K75" s="31" t="str">
        <f t="shared" si="3"/>
        <v>Aug-2024</v>
      </c>
      <c r="L75" s="31"/>
      <c r="M75" s="31"/>
    </row>
    <row r="76" spans="1:13" ht="15.75" customHeight="1">
      <c r="A76" s="3" t="s">
        <v>198</v>
      </c>
      <c r="B76" s="3" t="s">
        <v>28</v>
      </c>
      <c r="C76" s="3" t="s">
        <v>11</v>
      </c>
      <c r="D76" s="3" t="s">
        <v>18</v>
      </c>
      <c r="E76" s="3">
        <v>1526.6</v>
      </c>
      <c r="F76" s="3">
        <v>13</v>
      </c>
      <c r="G76" s="3">
        <f t="shared" si="2"/>
        <v>1526.6</v>
      </c>
      <c r="H76" s="3">
        <v>0.2</v>
      </c>
      <c r="I76" s="4">
        <v>45512</v>
      </c>
      <c r="J76" s="3">
        <v>305.32</v>
      </c>
      <c r="K76" s="31" t="str">
        <f t="shared" si="3"/>
        <v>Aug-2024</v>
      </c>
      <c r="L76" s="31"/>
      <c r="M76" s="31"/>
    </row>
    <row r="77" spans="1:13" ht="15.75" customHeight="1">
      <c r="A77" s="3" t="s">
        <v>199</v>
      </c>
      <c r="B77" s="3" t="s">
        <v>23</v>
      </c>
      <c r="C77" s="3" t="s">
        <v>11</v>
      </c>
      <c r="D77" s="3" t="s">
        <v>18</v>
      </c>
      <c r="E77" s="3">
        <v>1215.26</v>
      </c>
      <c r="F77" s="3">
        <v>5</v>
      </c>
      <c r="G77" s="3">
        <f t="shared" si="2"/>
        <v>1215.26</v>
      </c>
      <c r="H77" s="3">
        <v>0.15</v>
      </c>
      <c r="I77" s="4">
        <v>45513</v>
      </c>
      <c r="J77" s="3">
        <v>258.24</v>
      </c>
      <c r="K77" s="31" t="str">
        <f t="shared" si="3"/>
        <v>Aug-2024</v>
      </c>
      <c r="L77" s="31"/>
      <c r="M77" s="31"/>
    </row>
    <row r="78" spans="1:13" ht="15.75" customHeight="1">
      <c r="A78" s="3" t="s">
        <v>200</v>
      </c>
      <c r="B78" s="3" t="s">
        <v>37</v>
      </c>
      <c r="C78" s="3" t="s">
        <v>26</v>
      </c>
      <c r="D78" s="3" t="s">
        <v>22</v>
      </c>
      <c r="E78" s="3">
        <v>1261.3399999999999</v>
      </c>
      <c r="F78" s="3">
        <v>3</v>
      </c>
      <c r="G78" s="3">
        <f t="shared" si="2"/>
        <v>1261.3399999999999</v>
      </c>
      <c r="H78" s="3">
        <v>0</v>
      </c>
      <c r="I78" s="4">
        <v>45519</v>
      </c>
      <c r="J78" s="3">
        <v>441.47</v>
      </c>
      <c r="K78" s="31" t="str">
        <f t="shared" si="3"/>
        <v>Aug-2024</v>
      </c>
      <c r="L78" s="31"/>
      <c r="M78" s="31"/>
    </row>
    <row r="79" spans="1:13" ht="15.75" customHeight="1">
      <c r="A79" s="3" t="s">
        <v>201</v>
      </c>
      <c r="B79" s="3" t="s">
        <v>32</v>
      </c>
      <c r="C79" s="3" t="s">
        <v>20</v>
      </c>
      <c r="D79" s="3" t="s">
        <v>22</v>
      </c>
      <c r="E79" s="3">
        <v>518.07000000000005</v>
      </c>
      <c r="F79" s="3">
        <v>7</v>
      </c>
      <c r="G79" s="3">
        <f t="shared" si="2"/>
        <v>518.07000000000005</v>
      </c>
      <c r="H79" s="3">
        <v>0.05</v>
      </c>
      <c r="I79" s="4">
        <v>45522</v>
      </c>
      <c r="J79" s="3">
        <v>172.26</v>
      </c>
      <c r="K79" s="31" t="str">
        <f t="shared" si="3"/>
        <v>Aug-2024</v>
      </c>
      <c r="L79" s="31"/>
      <c r="M79" s="31"/>
    </row>
    <row r="80" spans="1:13" ht="15.75" customHeight="1">
      <c r="A80" s="3" t="s">
        <v>202</v>
      </c>
      <c r="B80" s="3" t="s">
        <v>23</v>
      </c>
      <c r="C80" s="3" t="s">
        <v>11</v>
      </c>
      <c r="D80" s="3" t="s">
        <v>29</v>
      </c>
      <c r="E80" s="3">
        <v>1111.3399999999999</v>
      </c>
      <c r="F80" s="3">
        <v>1</v>
      </c>
      <c r="G80" s="3">
        <f t="shared" si="2"/>
        <v>1111.3399999999999</v>
      </c>
      <c r="H80" s="3">
        <v>0</v>
      </c>
      <c r="I80" s="4">
        <v>45523</v>
      </c>
      <c r="J80" s="3">
        <v>500.1</v>
      </c>
      <c r="K80" s="31" t="str">
        <f t="shared" si="3"/>
        <v>Aug-2024</v>
      </c>
      <c r="L80" s="31"/>
      <c r="M80" s="31"/>
    </row>
    <row r="81" spans="1:13" ht="15.75" customHeight="1">
      <c r="A81" s="3" t="s">
        <v>203</v>
      </c>
      <c r="B81" s="3" t="s">
        <v>24</v>
      </c>
      <c r="C81" s="3" t="s">
        <v>16</v>
      </c>
      <c r="D81" s="3" t="s">
        <v>14</v>
      </c>
      <c r="E81" s="3">
        <v>1291.47</v>
      </c>
      <c r="F81" s="3">
        <v>18</v>
      </c>
      <c r="G81" s="3">
        <f t="shared" si="2"/>
        <v>1291.47</v>
      </c>
      <c r="H81" s="3">
        <v>0.1</v>
      </c>
      <c r="I81" s="4">
        <v>45526</v>
      </c>
      <c r="J81" s="3">
        <v>581.16</v>
      </c>
      <c r="K81" s="31" t="str">
        <f t="shared" si="3"/>
        <v>Aug-2024</v>
      </c>
      <c r="L81" s="31"/>
      <c r="M81" s="31"/>
    </row>
    <row r="82" spans="1:13" ht="15.75" customHeight="1">
      <c r="A82" s="3" t="s">
        <v>204</v>
      </c>
      <c r="B82" s="3" t="s">
        <v>38</v>
      </c>
      <c r="C82" s="3" t="s">
        <v>20</v>
      </c>
      <c r="D82" s="3" t="s">
        <v>12</v>
      </c>
      <c r="E82" s="3">
        <v>679.71</v>
      </c>
      <c r="F82" s="3">
        <v>19</v>
      </c>
      <c r="G82" s="3">
        <f t="shared" si="2"/>
        <v>679.71</v>
      </c>
      <c r="H82" s="3">
        <v>0</v>
      </c>
      <c r="I82" s="4">
        <v>45534</v>
      </c>
      <c r="J82" s="3">
        <v>271.88</v>
      </c>
      <c r="K82" s="31" t="str">
        <f t="shared" si="3"/>
        <v>Aug-2024</v>
      </c>
      <c r="L82" s="31"/>
      <c r="M82" s="31"/>
    </row>
    <row r="83" spans="1:13" ht="15.75" customHeight="1">
      <c r="A83" s="3" t="s">
        <v>205</v>
      </c>
      <c r="B83" s="3" t="s">
        <v>25</v>
      </c>
      <c r="C83" s="3" t="s">
        <v>16</v>
      </c>
      <c r="D83" s="3" t="s">
        <v>22</v>
      </c>
      <c r="E83" s="3">
        <v>1143.69</v>
      </c>
      <c r="F83" s="3">
        <v>17</v>
      </c>
      <c r="G83" s="3">
        <f t="shared" si="2"/>
        <v>1143.69</v>
      </c>
      <c r="H83" s="3">
        <v>0</v>
      </c>
      <c r="I83" s="4">
        <v>45534</v>
      </c>
      <c r="J83" s="3">
        <v>400.29</v>
      </c>
      <c r="K83" s="31" t="str">
        <f t="shared" si="3"/>
        <v>Aug-2024</v>
      </c>
      <c r="L83" s="31"/>
      <c r="M83" s="31"/>
    </row>
    <row r="84" spans="1:13" ht="15.75" customHeight="1">
      <c r="A84" s="3" t="s">
        <v>206</v>
      </c>
      <c r="B84" s="3" t="s">
        <v>35</v>
      </c>
      <c r="C84" s="3" t="s">
        <v>26</v>
      </c>
      <c r="D84" s="3" t="s">
        <v>18</v>
      </c>
      <c r="E84" s="3">
        <v>790.08</v>
      </c>
      <c r="F84" s="3">
        <v>7</v>
      </c>
      <c r="G84" s="3">
        <f t="shared" si="2"/>
        <v>790.08</v>
      </c>
      <c r="H84" s="3">
        <v>0.1</v>
      </c>
      <c r="I84" s="4">
        <v>45536</v>
      </c>
      <c r="J84" s="3">
        <v>177.77</v>
      </c>
      <c r="K84" s="31" t="str">
        <f t="shared" si="3"/>
        <v>Sep-2024</v>
      </c>
      <c r="L84" s="31"/>
      <c r="M84" s="31"/>
    </row>
    <row r="85" spans="1:13" ht="15.75" customHeight="1">
      <c r="A85" s="3" t="s">
        <v>207</v>
      </c>
      <c r="B85" s="3" t="s">
        <v>34</v>
      </c>
      <c r="C85" s="3" t="s">
        <v>26</v>
      </c>
      <c r="D85" s="3" t="s">
        <v>12</v>
      </c>
      <c r="E85" s="3">
        <v>1070.68</v>
      </c>
      <c r="F85" s="3">
        <v>7</v>
      </c>
      <c r="G85" s="3">
        <f t="shared" si="2"/>
        <v>1070.68</v>
      </c>
      <c r="H85" s="3">
        <v>0.05</v>
      </c>
      <c r="I85" s="4">
        <v>45536</v>
      </c>
      <c r="J85" s="3">
        <v>406.86</v>
      </c>
      <c r="K85" s="31" t="str">
        <f t="shared" si="3"/>
        <v>Sep-2024</v>
      </c>
      <c r="L85" s="31"/>
      <c r="M85" s="31"/>
    </row>
    <row r="86" spans="1:13" ht="15.75" customHeight="1">
      <c r="A86" s="3" t="s">
        <v>208</v>
      </c>
      <c r="B86" s="3" t="s">
        <v>27</v>
      </c>
      <c r="C86" s="3" t="s">
        <v>11</v>
      </c>
      <c r="D86" s="3" t="s">
        <v>14</v>
      </c>
      <c r="E86" s="3">
        <v>1168.8900000000001</v>
      </c>
      <c r="F86" s="3">
        <v>4</v>
      </c>
      <c r="G86" s="3">
        <f t="shared" si="2"/>
        <v>1168.8900000000001</v>
      </c>
      <c r="H86" s="3">
        <v>0.1</v>
      </c>
      <c r="I86" s="4">
        <v>45544</v>
      </c>
      <c r="J86" s="3">
        <v>526</v>
      </c>
      <c r="K86" s="31" t="str">
        <f t="shared" si="3"/>
        <v>Sep-2024</v>
      </c>
      <c r="L86" s="31"/>
      <c r="M86" s="31"/>
    </row>
    <row r="87" spans="1:13" ht="15.75" customHeight="1">
      <c r="A87" s="3" t="s">
        <v>209</v>
      </c>
      <c r="B87" s="3" t="s">
        <v>10</v>
      </c>
      <c r="C87" s="3" t="s">
        <v>17</v>
      </c>
      <c r="D87" s="3" t="s">
        <v>18</v>
      </c>
      <c r="E87" s="3">
        <v>1335.87</v>
      </c>
      <c r="F87" s="3">
        <v>17</v>
      </c>
      <c r="G87" s="3">
        <f t="shared" si="2"/>
        <v>1335.87</v>
      </c>
      <c r="H87" s="3">
        <v>0</v>
      </c>
      <c r="I87" s="4">
        <v>45544</v>
      </c>
      <c r="J87" s="3">
        <v>333.97</v>
      </c>
      <c r="K87" s="31" t="str">
        <f t="shared" si="3"/>
        <v>Sep-2024</v>
      </c>
      <c r="L87" s="31"/>
      <c r="M87" s="31"/>
    </row>
    <row r="88" spans="1:13" ht="15.75" customHeight="1">
      <c r="A88" s="3" t="s">
        <v>210</v>
      </c>
      <c r="B88" s="3" t="s">
        <v>38</v>
      </c>
      <c r="C88" s="3" t="s">
        <v>16</v>
      </c>
      <c r="D88" s="3" t="s">
        <v>22</v>
      </c>
      <c r="E88" s="3">
        <v>873.7</v>
      </c>
      <c r="F88" s="3">
        <v>9</v>
      </c>
      <c r="G88" s="3">
        <f t="shared" si="2"/>
        <v>873.7</v>
      </c>
      <c r="H88" s="3">
        <v>0</v>
      </c>
      <c r="I88" s="4">
        <v>45546</v>
      </c>
      <c r="J88" s="3">
        <v>305.8</v>
      </c>
      <c r="K88" s="31" t="str">
        <f t="shared" si="3"/>
        <v>Sep-2024</v>
      </c>
      <c r="L88" s="31"/>
      <c r="M88" s="31"/>
    </row>
    <row r="89" spans="1:13" ht="15.75" customHeight="1">
      <c r="A89" s="3" t="s">
        <v>211</v>
      </c>
      <c r="B89" s="3" t="s">
        <v>43</v>
      </c>
      <c r="C89" s="3" t="s">
        <v>11</v>
      </c>
      <c r="D89" s="3" t="s">
        <v>29</v>
      </c>
      <c r="E89" s="3">
        <v>1443.98</v>
      </c>
      <c r="F89" s="3">
        <v>19</v>
      </c>
      <c r="G89" s="3">
        <f t="shared" si="2"/>
        <v>1443.98</v>
      </c>
      <c r="H89" s="3">
        <v>0</v>
      </c>
      <c r="I89" s="4">
        <v>45547</v>
      </c>
      <c r="J89" s="3">
        <v>649.79</v>
      </c>
      <c r="K89" s="31" t="str">
        <f t="shared" si="3"/>
        <v>Sep-2024</v>
      </c>
      <c r="L89" s="31"/>
      <c r="M89" s="31"/>
    </row>
    <row r="90" spans="1:13" ht="15.75" customHeight="1">
      <c r="A90" s="3" t="s">
        <v>212</v>
      </c>
      <c r="B90" s="3" t="s">
        <v>19</v>
      </c>
      <c r="C90" s="3" t="s">
        <v>16</v>
      </c>
      <c r="D90" s="3" t="s">
        <v>29</v>
      </c>
      <c r="E90" s="3">
        <v>1154.33</v>
      </c>
      <c r="F90" s="3">
        <v>11</v>
      </c>
      <c r="G90" s="3">
        <f t="shared" si="2"/>
        <v>1154.33</v>
      </c>
      <c r="H90" s="3">
        <v>0.15</v>
      </c>
      <c r="I90" s="4">
        <v>45549</v>
      </c>
      <c r="J90" s="3">
        <v>441.53</v>
      </c>
      <c r="K90" s="31" t="str">
        <f t="shared" si="3"/>
        <v>Sep-2024</v>
      </c>
      <c r="L90" s="31"/>
      <c r="M90" s="31"/>
    </row>
    <row r="91" spans="1:13" ht="15.75" customHeight="1">
      <c r="A91" s="3" t="s">
        <v>213</v>
      </c>
      <c r="B91" s="3" t="s">
        <v>35</v>
      </c>
      <c r="C91" s="3" t="s">
        <v>17</v>
      </c>
      <c r="D91" s="3" t="s">
        <v>12</v>
      </c>
      <c r="E91" s="3">
        <v>1264.49</v>
      </c>
      <c r="F91" s="3">
        <v>16</v>
      </c>
      <c r="G91" s="3">
        <f t="shared" si="2"/>
        <v>1264.49</v>
      </c>
      <c r="H91" s="3">
        <v>0.05</v>
      </c>
      <c r="I91" s="4">
        <v>45549</v>
      </c>
      <c r="J91" s="3">
        <v>480.51</v>
      </c>
      <c r="K91" s="31" t="str">
        <f t="shared" si="3"/>
        <v>Sep-2024</v>
      </c>
      <c r="L91" s="31"/>
      <c r="M91" s="31"/>
    </row>
    <row r="92" spans="1:13" ht="15.75" customHeight="1">
      <c r="A92" s="3" t="s">
        <v>214</v>
      </c>
      <c r="B92" s="3" t="s">
        <v>44</v>
      </c>
      <c r="C92" s="3" t="s">
        <v>11</v>
      </c>
      <c r="D92" s="3" t="s">
        <v>22</v>
      </c>
      <c r="E92" s="3">
        <v>1101.55</v>
      </c>
      <c r="F92" s="3">
        <v>4</v>
      </c>
      <c r="G92" s="3">
        <f t="shared" si="2"/>
        <v>1101.55</v>
      </c>
      <c r="H92" s="3">
        <v>0.1</v>
      </c>
      <c r="I92" s="4">
        <v>45551</v>
      </c>
      <c r="J92" s="3">
        <v>346.99</v>
      </c>
      <c r="K92" s="31" t="str">
        <f t="shared" si="3"/>
        <v>Sep-2024</v>
      </c>
      <c r="L92" s="31"/>
      <c r="M92" s="31"/>
    </row>
    <row r="93" spans="1:13" ht="15.75" customHeight="1">
      <c r="A93" s="3" t="s">
        <v>215</v>
      </c>
      <c r="B93" s="3" t="s">
        <v>13</v>
      </c>
      <c r="C93" s="3" t="s">
        <v>17</v>
      </c>
      <c r="D93" s="3" t="s">
        <v>22</v>
      </c>
      <c r="E93" s="3">
        <v>727.73</v>
      </c>
      <c r="F93" s="3">
        <v>1</v>
      </c>
      <c r="G93" s="3">
        <f t="shared" si="2"/>
        <v>727.73</v>
      </c>
      <c r="H93" s="3">
        <v>0.1</v>
      </c>
      <c r="I93" s="4">
        <v>45552</v>
      </c>
      <c r="J93" s="3">
        <v>229.23</v>
      </c>
      <c r="K93" s="31" t="str">
        <f t="shared" si="3"/>
        <v>Sep-2024</v>
      </c>
      <c r="L93" s="31"/>
      <c r="M93" s="31"/>
    </row>
    <row r="94" spans="1:13" ht="15.75" customHeight="1">
      <c r="A94" s="3" t="s">
        <v>216</v>
      </c>
      <c r="B94" s="3" t="s">
        <v>28</v>
      </c>
      <c r="C94" s="3" t="s">
        <v>16</v>
      </c>
      <c r="D94" s="3" t="s">
        <v>29</v>
      </c>
      <c r="E94" s="3">
        <v>875.41</v>
      </c>
      <c r="F94" s="3">
        <v>13</v>
      </c>
      <c r="G94" s="3">
        <f t="shared" si="2"/>
        <v>875.41</v>
      </c>
      <c r="H94" s="3">
        <v>0.15</v>
      </c>
      <c r="I94" s="4">
        <v>45552</v>
      </c>
      <c r="J94" s="3">
        <v>334.84</v>
      </c>
      <c r="K94" s="31" t="str">
        <f t="shared" si="3"/>
        <v>Sep-2024</v>
      </c>
      <c r="L94" s="31"/>
      <c r="M94" s="31"/>
    </row>
    <row r="95" spans="1:13" ht="15.75" customHeight="1">
      <c r="A95" s="3" t="s">
        <v>217</v>
      </c>
      <c r="B95" s="3" t="s">
        <v>19</v>
      </c>
      <c r="C95" s="3" t="s">
        <v>11</v>
      </c>
      <c r="D95" s="3" t="s">
        <v>18</v>
      </c>
      <c r="E95" s="3">
        <v>1158.94</v>
      </c>
      <c r="F95" s="3">
        <v>19</v>
      </c>
      <c r="G95" s="3">
        <f t="shared" si="2"/>
        <v>1158.94</v>
      </c>
      <c r="H95" s="3">
        <v>0.2</v>
      </c>
      <c r="I95" s="4">
        <v>45553</v>
      </c>
      <c r="J95" s="3">
        <v>231.79</v>
      </c>
      <c r="K95" s="31" t="str">
        <f t="shared" si="3"/>
        <v>Sep-2024</v>
      </c>
      <c r="L95" s="31"/>
      <c r="M95" s="31"/>
    </row>
    <row r="96" spans="1:13" ht="15.75" customHeight="1">
      <c r="A96" s="3" t="s">
        <v>218</v>
      </c>
      <c r="B96" s="3" t="s">
        <v>33</v>
      </c>
      <c r="C96" s="3" t="s">
        <v>17</v>
      </c>
      <c r="D96" s="3" t="s">
        <v>12</v>
      </c>
      <c r="E96" s="3">
        <v>966.3</v>
      </c>
      <c r="F96" s="3">
        <v>2</v>
      </c>
      <c r="G96" s="3">
        <f t="shared" si="2"/>
        <v>966.3</v>
      </c>
      <c r="H96" s="3">
        <v>0.15</v>
      </c>
      <c r="I96" s="4">
        <v>45557</v>
      </c>
      <c r="J96" s="3">
        <v>328.54</v>
      </c>
      <c r="K96" s="31" t="str">
        <f t="shared" si="3"/>
        <v>Sep-2024</v>
      </c>
      <c r="L96" s="31"/>
      <c r="M96" s="31"/>
    </row>
    <row r="97" spans="1:13" ht="15.75" customHeight="1">
      <c r="A97" s="3" t="s">
        <v>219</v>
      </c>
      <c r="B97" s="3" t="s">
        <v>15</v>
      </c>
      <c r="C97" s="3" t="s">
        <v>17</v>
      </c>
      <c r="D97" s="3" t="s">
        <v>12</v>
      </c>
      <c r="E97" s="3">
        <v>917.48</v>
      </c>
      <c r="F97" s="3">
        <v>6</v>
      </c>
      <c r="G97" s="3">
        <f t="shared" si="2"/>
        <v>917.48</v>
      </c>
      <c r="H97" s="3">
        <v>0</v>
      </c>
      <c r="I97" s="4">
        <v>45558</v>
      </c>
      <c r="J97" s="3">
        <v>366.99</v>
      </c>
      <c r="K97" s="31" t="str">
        <f t="shared" si="3"/>
        <v>Sep-2024</v>
      </c>
      <c r="L97" s="31"/>
      <c r="M97" s="31"/>
    </row>
    <row r="98" spans="1:13" ht="15.75" customHeight="1">
      <c r="A98" s="3" t="s">
        <v>220</v>
      </c>
      <c r="B98" s="3" t="s">
        <v>41</v>
      </c>
      <c r="C98" s="3" t="s">
        <v>11</v>
      </c>
      <c r="D98" s="3" t="s">
        <v>22</v>
      </c>
      <c r="E98" s="3">
        <v>1172.97</v>
      </c>
      <c r="F98" s="3">
        <v>7</v>
      </c>
      <c r="G98" s="3">
        <f t="shared" si="2"/>
        <v>1172.97</v>
      </c>
      <c r="H98" s="3">
        <v>0.15</v>
      </c>
      <c r="I98" s="4">
        <v>45559</v>
      </c>
      <c r="J98" s="3">
        <v>348.96</v>
      </c>
      <c r="K98" s="31" t="str">
        <f t="shared" si="3"/>
        <v>Sep-2024</v>
      </c>
      <c r="L98" s="31"/>
      <c r="M98" s="31"/>
    </row>
    <row r="99" spans="1:13" ht="15.75" customHeight="1">
      <c r="A99" s="3" t="s">
        <v>221</v>
      </c>
      <c r="B99" s="3" t="s">
        <v>19</v>
      </c>
      <c r="C99" s="3" t="s">
        <v>20</v>
      </c>
      <c r="D99" s="3" t="s">
        <v>14</v>
      </c>
      <c r="E99" s="3">
        <v>1205.82</v>
      </c>
      <c r="F99" s="3">
        <v>11</v>
      </c>
      <c r="G99" s="3">
        <f t="shared" si="2"/>
        <v>1205.82</v>
      </c>
      <c r="H99" s="3">
        <v>0.1</v>
      </c>
      <c r="I99" s="4">
        <v>45559</v>
      </c>
      <c r="J99" s="3">
        <v>542.62</v>
      </c>
      <c r="K99" s="31" t="str">
        <f t="shared" si="3"/>
        <v>Sep-2024</v>
      </c>
      <c r="L99" s="31"/>
      <c r="M99" s="31"/>
    </row>
    <row r="100" spans="1:13" ht="15.75" customHeight="1">
      <c r="A100" s="3" t="s">
        <v>222</v>
      </c>
      <c r="B100" s="3" t="s">
        <v>43</v>
      </c>
      <c r="C100" s="3" t="s">
        <v>11</v>
      </c>
      <c r="D100" s="3" t="s">
        <v>29</v>
      </c>
      <c r="E100" s="3">
        <v>826.93</v>
      </c>
      <c r="F100" s="3">
        <v>10</v>
      </c>
      <c r="G100" s="3">
        <f t="shared" si="2"/>
        <v>826.93</v>
      </c>
      <c r="H100" s="3">
        <v>0.2</v>
      </c>
      <c r="I100" s="4">
        <v>45564</v>
      </c>
      <c r="J100" s="3">
        <v>297.69</v>
      </c>
      <c r="K100" s="31" t="str">
        <f t="shared" si="3"/>
        <v>Sep-2024</v>
      </c>
      <c r="L100" s="31"/>
      <c r="M100" s="31"/>
    </row>
    <row r="101" spans="1:13" ht="15.75" customHeight="1">
      <c r="A101" s="3" t="s">
        <v>223</v>
      </c>
      <c r="B101" s="3" t="s">
        <v>19</v>
      </c>
      <c r="C101" s="3" t="s">
        <v>26</v>
      </c>
      <c r="D101" s="3" t="s">
        <v>14</v>
      </c>
      <c r="E101" s="3">
        <v>902.19</v>
      </c>
      <c r="F101" s="3">
        <v>12</v>
      </c>
      <c r="G101" s="3">
        <f t="shared" si="2"/>
        <v>902.19</v>
      </c>
      <c r="H101" s="3">
        <v>0</v>
      </c>
      <c r="I101" s="4">
        <v>45564</v>
      </c>
      <c r="J101" s="3">
        <v>451.1</v>
      </c>
      <c r="K101" s="31" t="str">
        <f t="shared" si="3"/>
        <v>Sep-2024</v>
      </c>
      <c r="L101" s="31"/>
      <c r="M101" s="31"/>
    </row>
    <row r="102" spans="1:13" ht="15.75" customHeight="1">
      <c r="A102" s="3" t="s">
        <v>224</v>
      </c>
      <c r="B102" s="3" t="s">
        <v>28</v>
      </c>
      <c r="C102" s="3" t="s">
        <v>20</v>
      </c>
      <c r="D102" s="3" t="s">
        <v>12</v>
      </c>
      <c r="E102" s="3">
        <v>585.97</v>
      </c>
      <c r="F102" s="3">
        <v>17</v>
      </c>
      <c r="G102" s="3">
        <f t="shared" si="2"/>
        <v>585.97</v>
      </c>
      <c r="H102" s="3">
        <v>0.1</v>
      </c>
      <c r="I102" s="4">
        <v>45565</v>
      </c>
      <c r="J102" s="3">
        <v>210.95</v>
      </c>
      <c r="K102" s="31" t="str">
        <f t="shared" si="3"/>
        <v>Sep-2024</v>
      </c>
      <c r="L102" s="31"/>
      <c r="M102" s="31"/>
    </row>
    <row r="103" spans="1:13" ht="15.75" customHeight="1">
      <c r="A103" s="3" t="s">
        <v>225</v>
      </c>
      <c r="B103" s="3" t="s">
        <v>21</v>
      </c>
      <c r="C103" s="3" t="s">
        <v>20</v>
      </c>
      <c r="D103" s="3" t="s">
        <v>14</v>
      </c>
      <c r="E103" s="3">
        <v>990.19</v>
      </c>
      <c r="F103" s="3">
        <v>8</v>
      </c>
      <c r="G103" s="3">
        <f t="shared" si="2"/>
        <v>990.19</v>
      </c>
      <c r="H103" s="3">
        <v>0.1</v>
      </c>
      <c r="I103" s="4">
        <v>45565</v>
      </c>
      <c r="J103" s="3">
        <v>445.59</v>
      </c>
      <c r="K103" s="31" t="str">
        <f t="shared" si="3"/>
        <v>Sep-2024</v>
      </c>
      <c r="L103" s="31"/>
      <c r="M103" s="31"/>
    </row>
    <row r="104" spans="1:13" ht="15.75" customHeight="1">
      <c r="A104" s="3" t="s">
        <v>226</v>
      </c>
      <c r="B104" s="3" t="s">
        <v>39</v>
      </c>
      <c r="C104" s="3" t="s">
        <v>26</v>
      </c>
      <c r="D104" s="3" t="s">
        <v>18</v>
      </c>
      <c r="E104" s="3">
        <v>1014.09</v>
      </c>
      <c r="F104" s="3">
        <v>13</v>
      </c>
      <c r="G104" s="3">
        <f t="shared" si="2"/>
        <v>1014.09</v>
      </c>
      <c r="H104" s="3">
        <v>0.2</v>
      </c>
      <c r="I104" s="4">
        <v>45567</v>
      </c>
      <c r="J104" s="3">
        <v>202.82</v>
      </c>
      <c r="K104" s="31" t="str">
        <f t="shared" si="3"/>
        <v>Oct-2024</v>
      </c>
      <c r="L104" s="31"/>
      <c r="M104" s="31"/>
    </row>
    <row r="105" spans="1:13" ht="15.75" customHeight="1">
      <c r="A105" s="3" t="s">
        <v>227</v>
      </c>
      <c r="B105" s="3" t="s">
        <v>34</v>
      </c>
      <c r="C105" s="3" t="s">
        <v>20</v>
      </c>
      <c r="D105" s="3" t="s">
        <v>18</v>
      </c>
      <c r="E105" s="3">
        <v>925.29</v>
      </c>
      <c r="F105" s="3">
        <v>17</v>
      </c>
      <c r="G105" s="3">
        <f t="shared" si="2"/>
        <v>925.29</v>
      </c>
      <c r="H105" s="3">
        <v>0</v>
      </c>
      <c r="I105" s="4">
        <v>45570</v>
      </c>
      <c r="J105" s="3">
        <v>231.32</v>
      </c>
      <c r="K105" s="31" t="str">
        <f t="shared" si="3"/>
        <v>Oct-2024</v>
      </c>
      <c r="L105" s="31"/>
      <c r="M105" s="31"/>
    </row>
    <row r="106" spans="1:13" ht="15.75" customHeight="1">
      <c r="A106" s="3" t="s">
        <v>228</v>
      </c>
      <c r="B106" s="3" t="s">
        <v>33</v>
      </c>
      <c r="C106" s="3" t="s">
        <v>16</v>
      </c>
      <c r="D106" s="3" t="s">
        <v>22</v>
      </c>
      <c r="E106" s="3">
        <v>1286.54</v>
      </c>
      <c r="F106" s="3">
        <v>8</v>
      </c>
      <c r="G106" s="3">
        <f t="shared" si="2"/>
        <v>1286.54</v>
      </c>
      <c r="H106" s="3">
        <v>0</v>
      </c>
      <c r="I106" s="4">
        <v>45575</v>
      </c>
      <c r="J106" s="3">
        <v>450.29</v>
      </c>
      <c r="K106" s="31" t="str">
        <f t="shared" si="3"/>
        <v>Oct-2024</v>
      </c>
      <c r="L106" s="31"/>
      <c r="M106" s="31"/>
    </row>
    <row r="107" spans="1:13" ht="15.75" customHeight="1">
      <c r="A107" s="3" t="s">
        <v>229</v>
      </c>
      <c r="B107" s="3" t="s">
        <v>43</v>
      </c>
      <c r="C107" s="3" t="s">
        <v>17</v>
      </c>
      <c r="D107" s="3" t="s">
        <v>12</v>
      </c>
      <c r="E107" s="3">
        <v>961.62</v>
      </c>
      <c r="F107" s="3">
        <v>8</v>
      </c>
      <c r="G107" s="3">
        <f t="shared" si="2"/>
        <v>961.62</v>
      </c>
      <c r="H107" s="3">
        <v>0.2</v>
      </c>
      <c r="I107" s="4">
        <v>45577</v>
      </c>
      <c r="J107" s="3">
        <v>307.72000000000003</v>
      </c>
      <c r="K107" s="31" t="str">
        <f t="shared" si="3"/>
        <v>Oct-2024</v>
      </c>
      <c r="L107" s="31"/>
      <c r="M107" s="31"/>
    </row>
    <row r="108" spans="1:13" ht="15.75" customHeight="1">
      <c r="A108" s="3" t="s">
        <v>230</v>
      </c>
      <c r="B108" s="3" t="s">
        <v>19</v>
      </c>
      <c r="C108" s="3" t="s">
        <v>16</v>
      </c>
      <c r="D108" s="3" t="s">
        <v>12</v>
      </c>
      <c r="E108" s="3">
        <v>1081.1400000000001</v>
      </c>
      <c r="F108" s="3">
        <v>19</v>
      </c>
      <c r="G108" s="3">
        <f t="shared" si="2"/>
        <v>1081.1400000000001</v>
      </c>
      <c r="H108" s="3">
        <v>0.15</v>
      </c>
      <c r="I108" s="4">
        <v>45577</v>
      </c>
      <c r="J108" s="3">
        <v>367.59</v>
      </c>
      <c r="K108" s="31" t="str">
        <f t="shared" si="3"/>
        <v>Oct-2024</v>
      </c>
      <c r="L108" s="31"/>
      <c r="M108" s="31"/>
    </row>
    <row r="109" spans="1:13" ht="15.75" customHeight="1">
      <c r="A109" s="3" t="s">
        <v>231</v>
      </c>
      <c r="B109" s="3" t="s">
        <v>19</v>
      </c>
      <c r="C109" s="3" t="s">
        <v>11</v>
      </c>
      <c r="D109" s="3" t="s">
        <v>14</v>
      </c>
      <c r="E109" s="3">
        <v>1923.66</v>
      </c>
      <c r="F109" s="3">
        <v>9</v>
      </c>
      <c r="G109" s="3">
        <f t="shared" si="2"/>
        <v>1923.66</v>
      </c>
      <c r="H109" s="3">
        <v>0.2</v>
      </c>
      <c r="I109" s="4">
        <v>45580</v>
      </c>
      <c r="J109" s="3">
        <v>769.46</v>
      </c>
      <c r="K109" s="31" t="str">
        <f t="shared" si="3"/>
        <v>Oct-2024</v>
      </c>
      <c r="L109" s="31"/>
      <c r="M109" s="31"/>
    </row>
    <row r="110" spans="1:13" ht="15.75" customHeight="1">
      <c r="A110" s="3" t="s">
        <v>232</v>
      </c>
      <c r="B110" s="3" t="s">
        <v>44</v>
      </c>
      <c r="C110" s="3" t="s">
        <v>26</v>
      </c>
      <c r="D110" s="3" t="s">
        <v>14</v>
      </c>
      <c r="E110" s="3">
        <v>728.71</v>
      </c>
      <c r="F110" s="3">
        <v>14</v>
      </c>
      <c r="G110" s="3">
        <f t="shared" si="2"/>
        <v>728.71</v>
      </c>
      <c r="H110" s="3">
        <v>0.1</v>
      </c>
      <c r="I110" s="4">
        <v>45581</v>
      </c>
      <c r="J110" s="3">
        <v>327.92</v>
      </c>
      <c r="K110" s="31" t="str">
        <f t="shared" si="3"/>
        <v>Oct-2024</v>
      </c>
      <c r="L110" s="31"/>
      <c r="M110" s="31"/>
    </row>
    <row r="111" spans="1:13" ht="15.75" customHeight="1">
      <c r="A111" s="3" t="s">
        <v>233</v>
      </c>
      <c r="B111" s="3" t="s">
        <v>25</v>
      </c>
      <c r="C111" s="3" t="s">
        <v>26</v>
      </c>
      <c r="D111" s="3" t="s">
        <v>14</v>
      </c>
      <c r="E111" s="3">
        <v>1301.8900000000001</v>
      </c>
      <c r="F111" s="3">
        <v>7</v>
      </c>
      <c r="G111" s="3">
        <f t="shared" si="2"/>
        <v>1301.8900000000001</v>
      </c>
      <c r="H111" s="3">
        <v>0.15</v>
      </c>
      <c r="I111" s="4">
        <v>45581</v>
      </c>
      <c r="J111" s="3">
        <v>553.29999999999995</v>
      </c>
      <c r="K111" s="31" t="str">
        <f t="shared" si="3"/>
        <v>Oct-2024</v>
      </c>
      <c r="L111" s="31"/>
      <c r="M111" s="31"/>
    </row>
    <row r="112" spans="1:13" ht="15.75" customHeight="1">
      <c r="A112" s="3" t="s">
        <v>234</v>
      </c>
      <c r="B112" s="3" t="s">
        <v>44</v>
      </c>
      <c r="C112" s="3" t="s">
        <v>16</v>
      </c>
      <c r="D112" s="3" t="s">
        <v>12</v>
      </c>
      <c r="E112" s="3">
        <v>980.18</v>
      </c>
      <c r="F112" s="3">
        <v>16</v>
      </c>
      <c r="G112" s="3">
        <f t="shared" si="2"/>
        <v>980.18</v>
      </c>
      <c r="H112" s="3">
        <v>0.1</v>
      </c>
      <c r="I112" s="4">
        <v>45582</v>
      </c>
      <c r="J112" s="3">
        <v>352.86</v>
      </c>
      <c r="K112" s="31" t="str">
        <f t="shared" si="3"/>
        <v>Oct-2024</v>
      </c>
      <c r="L112" s="31"/>
      <c r="M112" s="31"/>
    </row>
    <row r="113" spans="1:13" ht="15.75" customHeight="1">
      <c r="A113" s="3" t="s">
        <v>235</v>
      </c>
      <c r="B113" s="3" t="s">
        <v>19</v>
      </c>
      <c r="C113" s="3" t="s">
        <v>11</v>
      </c>
      <c r="D113" s="3" t="s">
        <v>14</v>
      </c>
      <c r="E113" s="3">
        <v>697.57</v>
      </c>
      <c r="F113" s="3">
        <v>17</v>
      </c>
      <c r="G113" s="3">
        <f t="shared" si="2"/>
        <v>697.57</v>
      </c>
      <c r="H113" s="3">
        <v>0.1</v>
      </c>
      <c r="I113" s="4">
        <v>45584</v>
      </c>
      <c r="J113" s="3">
        <v>313.91000000000003</v>
      </c>
      <c r="K113" s="31" t="str">
        <f t="shared" si="3"/>
        <v>Oct-2024</v>
      </c>
      <c r="L113" s="31"/>
      <c r="M113" s="31"/>
    </row>
    <row r="114" spans="1:13" ht="15.75" customHeight="1">
      <c r="A114" s="3" t="s">
        <v>236</v>
      </c>
      <c r="B114" s="3" t="s">
        <v>46</v>
      </c>
      <c r="C114" s="3" t="s">
        <v>11</v>
      </c>
      <c r="D114" s="3" t="s">
        <v>22</v>
      </c>
      <c r="E114" s="3">
        <v>1193.6099999999999</v>
      </c>
      <c r="F114" s="3">
        <v>1</v>
      </c>
      <c r="G114" s="3">
        <f t="shared" si="2"/>
        <v>1193.6099999999999</v>
      </c>
      <c r="H114" s="3">
        <v>0.15</v>
      </c>
      <c r="I114" s="4">
        <v>45584</v>
      </c>
      <c r="J114" s="3">
        <v>355.1</v>
      </c>
      <c r="K114" s="31" t="str">
        <f t="shared" si="3"/>
        <v>Oct-2024</v>
      </c>
      <c r="L114" s="31"/>
      <c r="M114" s="31"/>
    </row>
    <row r="115" spans="1:13" ht="15.75" customHeight="1">
      <c r="A115" s="3" t="s">
        <v>237</v>
      </c>
      <c r="B115" s="3" t="s">
        <v>28</v>
      </c>
      <c r="C115" s="3" t="s">
        <v>17</v>
      </c>
      <c r="D115" s="3" t="s">
        <v>18</v>
      </c>
      <c r="E115" s="3">
        <v>771.02</v>
      </c>
      <c r="F115" s="3">
        <v>1</v>
      </c>
      <c r="G115" s="3">
        <f t="shared" si="2"/>
        <v>771.02</v>
      </c>
      <c r="H115" s="3">
        <v>0</v>
      </c>
      <c r="I115" s="4">
        <v>45585</v>
      </c>
      <c r="J115" s="3">
        <v>192.76</v>
      </c>
      <c r="K115" s="31" t="str">
        <f t="shared" si="3"/>
        <v>Oct-2024</v>
      </c>
      <c r="L115" s="31"/>
      <c r="M115" s="31"/>
    </row>
    <row r="116" spans="1:13" ht="15.75" customHeight="1">
      <c r="A116" s="3" t="s">
        <v>238</v>
      </c>
      <c r="B116" s="3" t="s">
        <v>45</v>
      </c>
      <c r="C116" s="3" t="s">
        <v>20</v>
      </c>
      <c r="D116" s="3" t="s">
        <v>14</v>
      </c>
      <c r="E116" s="3">
        <v>661.09</v>
      </c>
      <c r="F116" s="3">
        <v>1</v>
      </c>
      <c r="G116" s="3">
        <f t="shared" si="2"/>
        <v>661.09</v>
      </c>
      <c r="H116" s="3">
        <v>0.2</v>
      </c>
      <c r="I116" s="4">
        <v>45593</v>
      </c>
      <c r="J116" s="3">
        <v>264.44</v>
      </c>
      <c r="K116" s="31" t="str">
        <f t="shared" si="3"/>
        <v>Oct-2024</v>
      </c>
      <c r="L116" s="31"/>
      <c r="M116" s="31"/>
    </row>
    <row r="117" spans="1:13" ht="15.75" customHeight="1">
      <c r="A117" s="3" t="s">
        <v>239</v>
      </c>
      <c r="B117" s="3" t="s">
        <v>38</v>
      </c>
      <c r="C117" s="3" t="s">
        <v>11</v>
      </c>
      <c r="D117" s="3" t="s">
        <v>18</v>
      </c>
      <c r="E117" s="3">
        <v>688.83</v>
      </c>
      <c r="F117" s="3">
        <v>15</v>
      </c>
      <c r="G117" s="3">
        <f t="shared" si="2"/>
        <v>688.83</v>
      </c>
      <c r="H117" s="3">
        <v>0</v>
      </c>
      <c r="I117" s="4">
        <v>45595</v>
      </c>
      <c r="J117" s="3">
        <v>172.21</v>
      </c>
      <c r="K117" s="31" t="str">
        <f t="shared" si="3"/>
        <v>Oct-2024</v>
      </c>
      <c r="L117" s="31"/>
      <c r="M117" s="31"/>
    </row>
    <row r="118" spans="1:13" ht="15.75" customHeight="1">
      <c r="A118" s="3" t="s">
        <v>240</v>
      </c>
      <c r="B118" s="3" t="s">
        <v>23</v>
      </c>
      <c r="C118" s="3" t="s">
        <v>26</v>
      </c>
      <c r="D118" s="3" t="s">
        <v>12</v>
      </c>
      <c r="E118" s="3">
        <v>1249.0999999999999</v>
      </c>
      <c r="F118" s="3">
        <v>4</v>
      </c>
      <c r="G118" s="3">
        <f t="shared" si="2"/>
        <v>1249.0999999999999</v>
      </c>
      <c r="H118" s="3">
        <v>0.05</v>
      </c>
      <c r="I118" s="4">
        <v>45597</v>
      </c>
      <c r="J118" s="3">
        <v>474.66</v>
      </c>
      <c r="K118" s="31" t="str">
        <f t="shared" si="3"/>
        <v>Nov-2024</v>
      </c>
      <c r="L118" s="31"/>
      <c r="M118" s="31"/>
    </row>
    <row r="119" spans="1:13" ht="15.75" customHeight="1">
      <c r="A119" s="3" t="s">
        <v>241</v>
      </c>
      <c r="B119" s="3" t="s">
        <v>19</v>
      </c>
      <c r="C119" s="3" t="s">
        <v>16</v>
      </c>
      <c r="D119" s="3" t="s">
        <v>29</v>
      </c>
      <c r="E119" s="3">
        <v>1014.22</v>
      </c>
      <c r="F119" s="3">
        <v>14</v>
      </c>
      <c r="G119" s="3">
        <f t="shared" si="2"/>
        <v>1014.22</v>
      </c>
      <c r="H119" s="3">
        <v>0.05</v>
      </c>
      <c r="I119" s="4">
        <v>45599</v>
      </c>
      <c r="J119" s="3">
        <v>433.58</v>
      </c>
      <c r="K119" s="31" t="str">
        <f t="shared" si="3"/>
        <v>Nov-2024</v>
      </c>
      <c r="L119" s="31"/>
      <c r="M119" s="31"/>
    </row>
    <row r="120" spans="1:13" ht="15.75" customHeight="1">
      <c r="A120" s="3" t="s">
        <v>242</v>
      </c>
      <c r="B120" s="3" t="s">
        <v>34</v>
      </c>
      <c r="C120" s="3" t="s">
        <v>16</v>
      </c>
      <c r="D120" s="3" t="s">
        <v>12</v>
      </c>
      <c r="E120" s="3">
        <v>1010.58</v>
      </c>
      <c r="F120" s="3">
        <v>2</v>
      </c>
      <c r="G120" s="3">
        <f t="shared" si="2"/>
        <v>1010.58</v>
      </c>
      <c r="H120" s="3">
        <v>0.15</v>
      </c>
      <c r="I120" s="4">
        <v>45605</v>
      </c>
      <c r="J120" s="3">
        <v>343.6</v>
      </c>
      <c r="K120" s="31" t="str">
        <f t="shared" si="3"/>
        <v>Nov-2024</v>
      </c>
      <c r="L120" s="31"/>
      <c r="M120" s="31"/>
    </row>
    <row r="121" spans="1:13" ht="15.75" customHeight="1">
      <c r="A121" s="3" t="s">
        <v>243</v>
      </c>
      <c r="B121" s="3" t="s">
        <v>40</v>
      </c>
      <c r="C121" s="3" t="s">
        <v>20</v>
      </c>
      <c r="D121" s="3" t="s">
        <v>22</v>
      </c>
      <c r="E121" s="3">
        <v>957.29</v>
      </c>
      <c r="F121" s="3">
        <v>4</v>
      </c>
      <c r="G121" s="3">
        <f t="shared" si="2"/>
        <v>957.29</v>
      </c>
      <c r="H121" s="3">
        <v>0.05</v>
      </c>
      <c r="I121" s="4">
        <v>45605</v>
      </c>
      <c r="J121" s="3">
        <v>318.3</v>
      </c>
      <c r="K121" s="31" t="str">
        <f t="shared" si="3"/>
        <v>Nov-2024</v>
      </c>
      <c r="L121" s="31"/>
      <c r="M121" s="31"/>
    </row>
    <row r="122" spans="1:13" ht="15.75" customHeight="1">
      <c r="A122" s="3" t="s">
        <v>244</v>
      </c>
      <c r="B122" s="3" t="s">
        <v>32</v>
      </c>
      <c r="C122" s="3" t="s">
        <v>20</v>
      </c>
      <c r="D122" s="3" t="s">
        <v>22</v>
      </c>
      <c r="E122" s="3">
        <v>1077.92</v>
      </c>
      <c r="F122" s="3">
        <v>3</v>
      </c>
      <c r="G122" s="3">
        <f t="shared" si="2"/>
        <v>1077.92</v>
      </c>
      <c r="H122" s="3">
        <v>0.05</v>
      </c>
      <c r="I122" s="4">
        <v>45608</v>
      </c>
      <c r="J122" s="3">
        <v>358.41</v>
      </c>
      <c r="K122" s="31" t="str">
        <f t="shared" si="3"/>
        <v>Nov-2024</v>
      </c>
      <c r="L122" s="31"/>
      <c r="M122" s="31"/>
    </row>
    <row r="123" spans="1:13" ht="15.75" customHeight="1">
      <c r="A123" s="3" t="s">
        <v>245</v>
      </c>
      <c r="B123" s="3" t="s">
        <v>35</v>
      </c>
      <c r="C123" s="3" t="s">
        <v>17</v>
      </c>
      <c r="D123" s="3" t="s">
        <v>14</v>
      </c>
      <c r="E123" s="3">
        <v>1163.01</v>
      </c>
      <c r="F123" s="3">
        <v>5</v>
      </c>
      <c r="G123" s="3">
        <f t="shared" si="2"/>
        <v>1163.01</v>
      </c>
      <c r="H123" s="3">
        <v>0</v>
      </c>
      <c r="I123" s="4">
        <v>45611</v>
      </c>
      <c r="J123" s="3">
        <v>581.5</v>
      </c>
      <c r="K123" s="31" t="str">
        <f t="shared" si="3"/>
        <v>Nov-2024</v>
      </c>
      <c r="L123" s="31"/>
      <c r="M123" s="31"/>
    </row>
    <row r="124" spans="1:13" ht="15.75" customHeight="1">
      <c r="A124" s="3" t="s">
        <v>246</v>
      </c>
      <c r="B124" s="3" t="s">
        <v>32</v>
      </c>
      <c r="C124" s="3" t="s">
        <v>16</v>
      </c>
      <c r="D124" s="3" t="s">
        <v>29</v>
      </c>
      <c r="E124" s="3">
        <v>1014.56</v>
      </c>
      <c r="F124" s="3">
        <v>10</v>
      </c>
      <c r="G124" s="3">
        <f t="shared" si="2"/>
        <v>1014.56</v>
      </c>
      <c r="H124" s="3">
        <v>0.1</v>
      </c>
      <c r="I124" s="4">
        <v>45612</v>
      </c>
      <c r="J124" s="3">
        <v>410.9</v>
      </c>
      <c r="K124" s="31" t="str">
        <f t="shared" si="3"/>
        <v>Nov-2024</v>
      </c>
      <c r="L124" s="31"/>
      <c r="M124" s="31"/>
    </row>
    <row r="125" spans="1:13" ht="15.75" customHeight="1">
      <c r="A125" s="3" t="s">
        <v>247</v>
      </c>
      <c r="B125" s="3" t="s">
        <v>15</v>
      </c>
      <c r="C125" s="3" t="s">
        <v>17</v>
      </c>
      <c r="D125" s="3" t="s">
        <v>18</v>
      </c>
      <c r="E125" s="3">
        <v>718.04</v>
      </c>
      <c r="F125" s="3">
        <v>14</v>
      </c>
      <c r="G125" s="3">
        <f t="shared" si="2"/>
        <v>718.04</v>
      </c>
      <c r="H125" s="3">
        <v>0</v>
      </c>
      <c r="I125" s="4">
        <v>45613</v>
      </c>
      <c r="J125" s="3">
        <v>179.51</v>
      </c>
      <c r="K125" s="31" t="str">
        <f t="shared" si="3"/>
        <v>Nov-2024</v>
      </c>
      <c r="L125" s="31"/>
      <c r="M125" s="31"/>
    </row>
    <row r="126" spans="1:13" ht="15.75" customHeight="1">
      <c r="A126" s="3" t="s">
        <v>248</v>
      </c>
      <c r="B126" s="3" t="s">
        <v>15</v>
      </c>
      <c r="C126" s="3" t="s">
        <v>26</v>
      </c>
      <c r="D126" s="3" t="s">
        <v>14</v>
      </c>
      <c r="E126" s="3">
        <v>1277.8499999999999</v>
      </c>
      <c r="F126" s="3">
        <v>18</v>
      </c>
      <c r="G126" s="3">
        <f t="shared" si="2"/>
        <v>1277.8499999999999</v>
      </c>
      <c r="H126" s="3">
        <v>0.2</v>
      </c>
      <c r="I126" s="4">
        <v>45613</v>
      </c>
      <c r="J126" s="3">
        <v>511.14</v>
      </c>
      <c r="K126" s="31" t="str">
        <f t="shared" si="3"/>
        <v>Nov-2024</v>
      </c>
      <c r="L126" s="31"/>
      <c r="M126" s="31"/>
    </row>
    <row r="127" spans="1:13" ht="15.75" customHeight="1">
      <c r="A127" s="3" t="s">
        <v>249</v>
      </c>
      <c r="B127" s="3" t="s">
        <v>19</v>
      </c>
      <c r="C127" s="3" t="s">
        <v>20</v>
      </c>
      <c r="D127" s="3" t="s">
        <v>18</v>
      </c>
      <c r="E127" s="3">
        <v>706.73</v>
      </c>
      <c r="F127" s="3">
        <v>1</v>
      </c>
      <c r="G127" s="3">
        <f t="shared" si="2"/>
        <v>706.73</v>
      </c>
      <c r="H127" s="3">
        <v>0.15</v>
      </c>
      <c r="I127" s="4">
        <v>45613</v>
      </c>
      <c r="J127" s="3">
        <v>150.18</v>
      </c>
      <c r="K127" s="31" t="str">
        <f t="shared" si="3"/>
        <v>Nov-2024</v>
      </c>
      <c r="L127" s="31"/>
      <c r="M127" s="31"/>
    </row>
    <row r="128" spans="1:13" ht="15.75" customHeight="1">
      <c r="A128" s="3" t="s">
        <v>250</v>
      </c>
      <c r="B128" s="3" t="s">
        <v>35</v>
      </c>
      <c r="C128" s="3" t="s">
        <v>16</v>
      </c>
      <c r="D128" s="3" t="s">
        <v>18</v>
      </c>
      <c r="E128" s="3">
        <v>1410.59</v>
      </c>
      <c r="F128" s="3">
        <v>15</v>
      </c>
      <c r="G128" s="3">
        <f t="shared" si="2"/>
        <v>1410.59</v>
      </c>
      <c r="H128" s="3">
        <v>0</v>
      </c>
      <c r="I128" s="4">
        <v>45615</v>
      </c>
      <c r="J128" s="3">
        <v>352.65</v>
      </c>
      <c r="K128" s="31" t="str">
        <f t="shared" si="3"/>
        <v>Nov-2024</v>
      </c>
      <c r="L128" s="31"/>
      <c r="M128" s="31"/>
    </row>
    <row r="129" spans="1:13" ht="15.75" customHeight="1">
      <c r="A129" s="3" t="s">
        <v>251</v>
      </c>
      <c r="B129" s="3" t="s">
        <v>41</v>
      </c>
      <c r="C129" s="3" t="s">
        <v>17</v>
      </c>
      <c r="D129" s="3" t="s">
        <v>22</v>
      </c>
      <c r="E129" s="3">
        <v>1350.33</v>
      </c>
      <c r="F129" s="3">
        <v>10</v>
      </c>
      <c r="G129" s="3">
        <f t="shared" si="2"/>
        <v>1350.33</v>
      </c>
      <c r="H129" s="3">
        <v>0</v>
      </c>
      <c r="I129" s="4">
        <v>45615</v>
      </c>
      <c r="J129" s="3">
        <v>472.62</v>
      </c>
      <c r="K129" s="31" t="str">
        <f t="shared" si="3"/>
        <v>Nov-2024</v>
      </c>
      <c r="L129" s="31"/>
      <c r="M129" s="31"/>
    </row>
    <row r="130" spans="1:13" ht="15.75" customHeight="1">
      <c r="A130" s="3" t="s">
        <v>252</v>
      </c>
      <c r="B130" s="3" t="s">
        <v>32</v>
      </c>
      <c r="C130" s="3" t="s">
        <v>16</v>
      </c>
      <c r="D130" s="3" t="s">
        <v>18</v>
      </c>
      <c r="E130" s="3">
        <v>919.18</v>
      </c>
      <c r="F130" s="3">
        <v>4</v>
      </c>
      <c r="G130" s="3">
        <f t="shared" si="2"/>
        <v>919.18</v>
      </c>
      <c r="H130" s="3">
        <v>0.15</v>
      </c>
      <c r="I130" s="4">
        <v>45615</v>
      </c>
      <c r="J130" s="3">
        <v>195.33</v>
      </c>
      <c r="K130" s="31" t="str">
        <f t="shared" si="3"/>
        <v>Nov-2024</v>
      </c>
      <c r="L130" s="31"/>
      <c r="M130" s="31"/>
    </row>
    <row r="131" spans="1:13" ht="15.75" customHeight="1">
      <c r="A131" s="3" t="s">
        <v>253</v>
      </c>
      <c r="B131" s="3" t="s">
        <v>19</v>
      </c>
      <c r="C131" s="3" t="s">
        <v>11</v>
      </c>
      <c r="D131" s="3" t="s">
        <v>18</v>
      </c>
      <c r="E131" s="3">
        <v>258.51</v>
      </c>
      <c r="F131" s="3">
        <v>19</v>
      </c>
      <c r="G131" s="3">
        <f t="shared" ref="G131:G194" si="4">SUMIF($A:$A,A131,$E:$E)</f>
        <v>258.51</v>
      </c>
      <c r="H131" s="3">
        <v>0</v>
      </c>
      <c r="I131" s="4">
        <v>45616</v>
      </c>
      <c r="J131" s="3">
        <v>64.63</v>
      </c>
      <c r="K131" s="31" t="str">
        <f t="shared" ref="K131:K194" si="5">TEXT(I131, "MMM-YYYY")</f>
        <v>Nov-2024</v>
      </c>
      <c r="L131" s="31"/>
      <c r="M131" s="31"/>
    </row>
    <row r="132" spans="1:13" ht="15.75" customHeight="1">
      <c r="A132" s="3" t="s">
        <v>254</v>
      </c>
      <c r="B132" s="3" t="s">
        <v>41</v>
      </c>
      <c r="C132" s="3" t="s">
        <v>16</v>
      </c>
      <c r="D132" s="3" t="s">
        <v>12</v>
      </c>
      <c r="E132" s="3">
        <v>1213.48</v>
      </c>
      <c r="F132" s="3">
        <v>5</v>
      </c>
      <c r="G132" s="3">
        <f t="shared" si="4"/>
        <v>1213.48</v>
      </c>
      <c r="H132" s="3">
        <v>0.05</v>
      </c>
      <c r="I132" s="4">
        <v>45616</v>
      </c>
      <c r="J132" s="3">
        <v>461.12</v>
      </c>
      <c r="K132" s="31" t="str">
        <f t="shared" si="5"/>
        <v>Nov-2024</v>
      </c>
      <c r="L132" s="31"/>
      <c r="M132" s="31"/>
    </row>
    <row r="133" spans="1:13" ht="15.75" customHeight="1">
      <c r="A133" s="3" t="s">
        <v>255</v>
      </c>
      <c r="B133" s="3" t="s">
        <v>28</v>
      </c>
      <c r="C133" s="3" t="s">
        <v>26</v>
      </c>
      <c r="D133" s="3" t="s">
        <v>12</v>
      </c>
      <c r="E133" s="3">
        <v>1150.28</v>
      </c>
      <c r="F133" s="3">
        <v>8</v>
      </c>
      <c r="G133" s="3">
        <f t="shared" si="4"/>
        <v>1150.28</v>
      </c>
      <c r="H133" s="3">
        <v>0.05</v>
      </c>
      <c r="I133" s="4">
        <v>45622</v>
      </c>
      <c r="J133" s="3">
        <v>437.11</v>
      </c>
      <c r="K133" s="31" t="str">
        <f t="shared" si="5"/>
        <v>Nov-2024</v>
      </c>
      <c r="L133" s="31"/>
      <c r="M133" s="31"/>
    </row>
    <row r="134" spans="1:13" ht="15.75" customHeight="1">
      <c r="A134" s="3" t="s">
        <v>256</v>
      </c>
      <c r="B134" s="3" t="s">
        <v>46</v>
      </c>
      <c r="C134" s="3" t="s">
        <v>17</v>
      </c>
      <c r="D134" s="3" t="s">
        <v>22</v>
      </c>
      <c r="E134" s="3">
        <v>853.86</v>
      </c>
      <c r="F134" s="3">
        <v>8</v>
      </c>
      <c r="G134" s="3">
        <f t="shared" si="4"/>
        <v>853.86</v>
      </c>
      <c r="H134" s="3">
        <v>0.1</v>
      </c>
      <c r="I134" s="4">
        <v>45622</v>
      </c>
      <c r="J134" s="3">
        <v>268.97000000000003</v>
      </c>
      <c r="K134" s="31" t="str">
        <f t="shared" si="5"/>
        <v>Nov-2024</v>
      </c>
      <c r="L134" s="31"/>
      <c r="M134" s="31"/>
    </row>
    <row r="135" spans="1:13" ht="15.75" customHeight="1">
      <c r="A135" s="3" t="s">
        <v>257</v>
      </c>
      <c r="B135" s="3" t="s">
        <v>32</v>
      </c>
      <c r="C135" s="3" t="s">
        <v>17</v>
      </c>
      <c r="D135" s="3" t="s">
        <v>18</v>
      </c>
      <c r="E135" s="3">
        <v>1061.04</v>
      </c>
      <c r="F135" s="3">
        <v>1</v>
      </c>
      <c r="G135" s="3">
        <f t="shared" si="4"/>
        <v>1061.04</v>
      </c>
      <c r="H135" s="3">
        <v>0</v>
      </c>
      <c r="I135" s="4">
        <v>45624</v>
      </c>
      <c r="J135" s="3">
        <v>265.26</v>
      </c>
      <c r="K135" s="31" t="str">
        <f t="shared" si="5"/>
        <v>Nov-2024</v>
      </c>
      <c r="L135" s="31"/>
      <c r="M135" s="31"/>
    </row>
    <row r="136" spans="1:13" ht="15.75" customHeight="1">
      <c r="A136" s="3" t="s">
        <v>258</v>
      </c>
      <c r="B136" s="3" t="s">
        <v>31</v>
      </c>
      <c r="C136" s="3" t="s">
        <v>11</v>
      </c>
      <c r="D136" s="3" t="s">
        <v>18</v>
      </c>
      <c r="E136" s="3">
        <v>894.55</v>
      </c>
      <c r="F136" s="3">
        <v>19</v>
      </c>
      <c r="G136" s="3">
        <f t="shared" si="4"/>
        <v>894.55</v>
      </c>
      <c r="H136" s="3">
        <v>0.2</v>
      </c>
      <c r="I136" s="4">
        <v>45625</v>
      </c>
      <c r="J136" s="3">
        <v>178.91</v>
      </c>
      <c r="K136" s="31" t="str">
        <f t="shared" si="5"/>
        <v>Nov-2024</v>
      </c>
      <c r="L136" s="31"/>
      <c r="M136" s="31"/>
    </row>
    <row r="137" spans="1:13" ht="15.75" customHeight="1">
      <c r="A137" s="3" t="s">
        <v>259</v>
      </c>
      <c r="B137" s="3" t="s">
        <v>28</v>
      </c>
      <c r="C137" s="3" t="s">
        <v>20</v>
      </c>
      <c r="D137" s="3" t="s">
        <v>29</v>
      </c>
      <c r="E137" s="3">
        <v>833.91</v>
      </c>
      <c r="F137" s="3">
        <v>3</v>
      </c>
      <c r="G137" s="3">
        <f t="shared" si="4"/>
        <v>833.91</v>
      </c>
      <c r="H137" s="3">
        <v>0.05</v>
      </c>
      <c r="I137" s="4">
        <v>45626</v>
      </c>
      <c r="J137" s="3">
        <v>356.5</v>
      </c>
      <c r="K137" s="31" t="str">
        <f t="shared" si="5"/>
        <v>Nov-2024</v>
      </c>
      <c r="L137" s="31"/>
      <c r="M137" s="31"/>
    </row>
    <row r="138" spans="1:13" ht="15.75" customHeight="1">
      <c r="A138" s="3" t="s">
        <v>260</v>
      </c>
      <c r="B138" s="3" t="s">
        <v>46</v>
      </c>
      <c r="C138" s="3" t="s">
        <v>11</v>
      </c>
      <c r="D138" s="3" t="s">
        <v>22</v>
      </c>
      <c r="E138" s="3">
        <v>820.19</v>
      </c>
      <c r="F138" s="3">
        <v>4</v>
      </c>
      <c r="G138" s="3">
        <f t="shared" si="4"/>
        <v>820.19</v>
      </c>
      <c r="H138" s="3">
        <v>0.2</v>
      </c>
      <c r="I138" s="4">
        <v>45630</v>
      </c>
      <c r="J138" s="3">
        <v>229.65</v>
      </c>
      <c r="K138" s="31" t="str">
        <f t="shared" si="5"/>
        <v>Dec-2024</v>
      </c>
      <c r="L138" s="31"/>
      <c r="M138" s="31"/>
    </row>
    <row r="139" spans="1:13" ht="15.75" customHeight="1">
      <c r="A139" s="3" t="s">
        <v>261</v>
      </c>
      <c r="B139" s="3" t="s">
        <v>28</v>
      </c>
      <c r="C139" s="3" t="s">
        <v>26</v>
      </c>
      <c r="D139" s="3" t="s">
        <v>18</v>
      </c>
      <c r="E139" s="3">
        <v>511.74</v>
      </c>
      <c r="F139" s="3">
        <v>8</v>
      </c>
      <c r="G139" s="3">
        <f t="shared" si="4"/>
        <v>511.74</v>
      </c>
      <c r="H139" s="3">
        <v>0.05</v>
      </c>
      <c r="I139" s="4">
        <v>45631</v>
      </c>
      <c r="J139" s="3">
        <v>121.54</v>
      </c>
      <c r="K139" s="31" t="str">
        <f t="shared" si="5"/>
        <v>Dec-2024</v>
      </c>
      <c r="L139" s="31"/>
      <c r="M139" s="31"/>
    </row>
    <row r="140" spans="1:13" ht="15.75" customHeight="1">
      <c r="A140" s="3" t="s">
        <v>262</v>
      </c>
      <c r="B140" s="3" t="s">
        <v>41</v>
      </c>
      <c r="C140" s="3" t="s">
        <v>17</v>
      </c>
      <c r="D140" s="3" t="s">
        <v>22</v>
      </c>
      <c r="E140" s="3">
        <v>806.03</v>
      </c>
      <c r="F140" s="3">
        <v>19</v>
      </c>
      <c r="G140" s="3">
        <f t="shared" si="4"/>
        <v>806.03</v>
      </c>
      <c r="H140" s="3">
        <v>0.05</v>
      </c>
      <c r="I140" s="4">
        <v>45638</v>
      </c>
      <c r="J140" s="3">
        <v>268</v>
      </c>
      <c r="K140" s="31" t="str">
        <f t="shared" si="5"/>
        <v>Dec-2024</v>
      </c>
      <c r="L140" s="31"/>
      <c r="M140" s="31"/>
    </row>
    <row r="141" spans="1:13" ht="15.75" customHeight="1">
      <c r="A141" s="3" t="s">
        <v>263</v>
      </c>
      <c r="B141" s="3" t="s">
        <v>21</v>
      </c>
      <c r="C141" s="3" t="s">
        <v>26</v>
      </c>
      <c r="D141" s="3" t="s">
        <v>22</v>
      </c>
      <c r="E141" s="3">
        <v>1432.47</v>
      </c>
      <c r="F141" s="3">
        <v>16</v>
      </c>
      <c r="G141" s="3">
        <f t="shared" si="4"/>
        <v>1432.47</v>
      </c>
      <c r="H141" s="3">
        <v>0.15</v>
      </c>
      <c r="I141" s="4">
        <v>45640</v>
      </c>
      <c r="J141" s="3">
        <v>426.16</v>
      </c>
      <c r="K141" s="31" t="str">
        <f t="shared" si="5"/>
        <v>Dec-2024</v>
      </c>
      <c r="L141" s="31"/>
      <c r="M141" s="31"/>
    </row>
    <row r="142" spans="1:13" ht="15.75" customHeight="1">
      <c r="A142" s="3" t="s">
        <v>264</v>
      </c>
      <c r="B142" s="3" t="s">
        <v>23</v>
      </c>
      <c r="C142" s="3" t="s">
        <v>26</v>
      </c>
      <c r="D142" s="3" t="s">
        <v>18</v>
      </c>
      <c r="E142" s="3">
        <v>1488.58</v>
      </c>
      <c r="F142" s="3">
        <v>10</v>
      </c>
      <c r="G142" s="3">
        <f t="shared" si="4"/>
        <v>1488.58</v>
      </c>
      <c r="H142" s="3">
        <v>0.15</v>
      </c>
      <c r="I142" s="4">
        <v>45640</v>
      </c>
      <c r="J142" s="3">
        <v>316.32</v>
      </c>
      <c r="K142" s="31" t="str">
        <f t="shared" si="5"/>
        <v>Dec-2024</v>
      </c>
      <c r="L142" s="31"/>
      <c r="M142" s="31"/>
    </row>
    <row r="143" spans="1:13" ht="15.75" customHeight="1">
      <c r="A143" s="3" t="s">
        <v>265</v>
      </c>
      <c r="B143" s="3" t="s">
        <v>44</v>
      </c>
      <c r="C143" s="3" t="s">
        <v>16</v>
      </c>
      <c r="D143" s="3" t="s">
        <v>12</v>
      </c>
      <c r="E143" s="3">
        <v>1231.26</v>
      </c>
      <c r="F143" s="3">
        <v>9</v>
      </c>
      <c r="G143" s="3">
        <f t="shared" si="4"/>
        <v>1231.26</v>
      </c>
      <c r="H143" s="3">
        <v>0</v>
      </c>
      <c r="I143" s="4">
        <v>45646</v>
      </c>
      <c r="J143" s="3">
        <v>492.5</v>
      </c>
      <c r="K143" s="31" t="str">
        <f t="shared" si="5"/>
        <v>Dec-2024</v>
      </c>
      <c r="L143" s="31"/>
      <c r="M143" s="31"/>
    </row>
    <row r="144" spans="1:13" ht="15.75" customHeight="1">
      <c r="A144" s="3" t="s">
        <v>266</v>
      </c>
      <c r="B144" s="3" t="s">
        <v>31</v>
      </c>
      <c r="C144" s="3" t="s">
        <v>11</v>
      </c>
      <c r="D144" s="3" t="s">
        <v>18</v>
      </c>
      <c r="E144" s="3">
        <v>1161.67</v>
      </c>
      <c r="F144" s="3">
        <v>19</v>
      </c>
      <c r="G144" s="3">
        <f t="shared" si="4"/>
        <v>1161.67</v>
      </c>
      <c r="H144" s="3">
        <v>0.2</v>
      </c>
      <c r="I144" s="4">
        <v>45647</v>
      </c>
      <c r="J144" s="3">
        <v>232.33</v>
      </c>
      <c r="K144" s="31" t="str">
        <f t="shared" si="5"/>
        <v>Dec-2024</v>
      </c>
      <c r="L144" s="31"/>
      <c r="M144" s="31"/>
    </row>
    <row r="145" spans="1:13" ht="15.75" customHeight="1">
      <c r="A145" s="3" t="s">
        <v>267</v>
      </c>
      <c r="B145" s="3" t="s">
        <v>32</v>
      </c>
      <c r="C145" s="3" t="s">
        <v>26</v>
      </c>
      <c r="D145" s="3" t="s">
        <v>29</v>
      </c>
      <c r="E145" s="3">
        <v>388.23</v>
      </c>
      <c r="F145" s="3">
        <v>16</v>
      </c>
      <c r="G145" s="3">
        <f t="shared" si="4"/>
        <v>388.23</v>
      </c>
      <c r="H145" s="3">
        <v>0.05</v>
      </c>
      <c r="I145" s="4">
        <v>45650</v>
      </c>
      <c r="J145" s="3">
        <v>165.97</v>
      </c>
      <c r="K145" s="31" t="str">
        <f t="shared" si="5"/>
        <v>Dec-2024</v>
      </c>
      <c r="L145" s="31"/>
      <c r="M145" s="31"/>
    </row>
    <row r="146" spans="1:13" ht="15.75" customHeight="1">
      <c r="A146" s="3" t="s">
        <v>268</v>
      </c>
      <c r="B146" s="3" t="s">
        <v>24</v>
      </c>
      <c r="C146" s="3" t="s">
        <v>20</v>
      </c>
      <c r="D146" s="3" t="s">
        <v>14</v>
      </c>
      <c r="E146" s="3">
        <v>1589.42</v>
      </c>
      <c r="F146" s="3">
        <v>6</v>
      </c>
      <c r="G146" s="3">
        <f t="shared" si="4"/>
        <v>1589.42</v>
      </c>
      <c r="H146" s="3">
        <v>0.15</v>
      </c>
      <c r="I146" s="4">
        <v>45651</v>
      </c>
      <c r="J146" s="3">
        <v>675.5</v>
      </c>
      <c r="K146" s="31" t="str">
        <f t="shared" si="5"/>
        <v>Dec-2024</v>
      </c>
      <c r="L146" s="31"/>
      <c r="M146" s="31"/>
    </row>
    <row r="147" spans="1:13" ht="15.75" customHeight="1">
      <c r="A147" s="3" t="s">
        <v>269</v>
      </c>
      <c r="B147" s="3" t="s">
        <v>46</v>
      </c>
      <c r="C147" s="3" t="s">
        <v>20</v>
      </c>
      <c r="D147" s="3" t="s">
        <v>14</v>
      </c>
      <c r="E147" s="3">
        <v>336.66</v>
      </c>
      <c r="F147" s="3">
        <v>13</v>
      </c>
      <c r="G147" s="3">
        <f t="shared" si="4"/>
        <v>336.66</v>
      </c>
      <c r="H147" s="3">
        <v>0.2</v>
      </c>
      <c r="I147" s="4">
        <v>45651</v>
      </c>
      <c r="J147" s="3">
        <v>134.66</v>
      </c>
      <c r="K147" s="31" t="str">
        <f t="shared" si="5"/>
        <v>Dec-2024</v>
      </c>
      <c r="L147" s="31"/>
      <c r="M147" s="31"/>
    </row>
    <row r="148" spans="1:13" ht="15.75" customHeight="1">
      <c r="A148" s="3" t="s">
        <v>270</v>
      </c>
      <c r="B148" s="3" t="s">
        <v>19</v>
      </c>
      <c r="C148" s="3" t="s">
        <v>11</v>
      </c>
      <c r="D148" s="3" t="s">
        <v>12</v>
      </c>
      <c r="E148" s="3">
        <v>1353.79</v>
      </c>
      <c r="F148" s="3">
        <v>14</v>
      </c>
      <c r="G148" s="3">
        <f t="shared" si="4"/>
        <v>1353.79</v>
      </c>
      <c r="H148" s="3">
        <v>0.1</v>
      </c>
      <c r="I148" s="4">
        <v>45656</v>
      </c>
      <c r="J148" s="3">
        <v>487.36</v>
      </c>
      <c r="K148" s="31" t="str">
        <f t="shared" si="5"/>
        <v>Dec-2024</v>
      </c>
      <c r="L148" s="31"/>
      <c r="M148" s="31"/>
    </row>
    <row r="149" spans="1:13" ht="15.75" customHeight="1">
      <c r="A149" s="3" t="s">
        <v>271</v>
      </c>
      <c r="B149" s="3" t="s">
        <v>45</v>
      </c>
      <c r="C149" s="3" t="s">
        <v>26</v>
      </c>
      <c r="D149" s="3" t="s">
        <v>14</v>
      </c>
      <c r="E149" s="3">
        <v>662.61</v>
      </c>
      <c r="F149" s="3">
        <v>11</v>
      </c>
      <c r="G149" s="3">
        <f t="shared" si="4"/>
        <v>662.61</v>
      </c>
      <c r="H149" s="3">
        <v>0.05</v>
      </c>
      <c r="I149" s="4">
        <v>45658</v>
      </c>
      <c r="J149" s="3">
        <v>314.74</v>
      </c>
      <c r="K149" s="31" t="str">
        <f t="shared" si="5"/>
        <v>Jan-2025</v>
      </c>
      <c r="L149" s="31"/>
      <c r="M149" s="31"/>
    </row>
    <row r="150" spans="1:13" ht="15.75" customHeight="1">
      <c r="A150" s="3" t="s">
        <v>272</v>
      </c>
      <c r="B150" s="3" t="s">
        <v>34</v>
      </c>
      <c r="C150" s="3" t="s">
        <v>20</v>
      </c>
      <c r="D150" s="3" t="s">
        <v>29</v>
      </c>
      <c r="E150" s="3">
        <v>309.42</v>
      </c>
      <c r="F150" s="3">
        <v>1</v>
      </c>
      <c r="G150" s="3">
        <f t="shared" si="4"/>
        <v>309.42</v>
      </c>
      <c r="H150" s="3">
        <v>0.2</v>
      </c>
      <c r="I150" s="4">
        <v>45658</v>
      </c>
      <c r="J150" s="3">
        <v>111.39</v>
      </c>
      <c r="K150" s="31" t="str">
        <f t="shared" si="5"/>
        <v>Jan-2025</v>
      </c>
      <c r="L150" s="31"/>
      <c r="M150" s="31"/>
    </row>
    <row r="151" spans="1:13" ht="15.75" customHeight="1">
      <c r="A151" s="3" t="s">
        <v>273</v>
      </c>
      <c r="B151" s="3" t="s">
        <v>23</v>
      </c>
      <c r="C151" s="3" t="s">
        <v>20</v>
      </c>
      <c r="D151" s="3" t="s">
        <v>12</v>
      </c>
      <c r="E151" s="3">
        <v>884.63</v>
      </c>
      <c r="F151" s="3">
        <v>18</v>
      </c>
      <c r="G151" s="3">
        <f t="shared" si="4"/>
        <v>884.63</v>
      </c>
      <c r="H151" s="3">
        <v>0.1</v>
      </c>
      <c r="I151" s="4">
        <v>45659</v>
      </c>
      <c r="J151" s="3">
        <v>318.47000000000003</v>
      </c>
      <c r="K151" s="31" t="str">
        <f t="shared" si="5"/>
        <v>Jan-2025</v>
      </c>
      <c r="L151" s="31"/>
      <c r="M151" s="31"/>
    </row>
    <row r="152" spans="1:13" ht="15.75" customHeight="1">
      <c r="A152" s="3" t="s">
        <v>274</v>
      </c>
      <c r="B152" s="3" t="s">
        <v>19</v>
      </c>
      <c r="C152" s="3" t="s">
        <v>26</v>
      </c>
      <c r="D152" s="3" t="s">
        <v>29</v>
      </c>
      <c r="E152" s="3">
        <v>745.05</v>
      </c>
      <c r="F152" s="3">
        <v>10</v>
      </c>
      <c r="G152" s="3">
        <f t="shared" si="4"/>
        <v>745.05</v>
      </c>
      <c r="H152" s="3">
        <v>0.1</v>
      </c>
      <c r="I152" s="4">
        <v>45660</v>
      </c>
      <c r="J152" s="3">
        <v>301.75</v>
      </c>
      <c r="K152" s="31" t="str">
        <f t="shared" si="5"/>
        <v>Jan-2025</v>
      </c>
      <c r="L152" s="31"/>
      <c r="M152" s="31"/>
    </row>
    <row r="153" spans="1:13" ht="15.75" customHeight="1">
      <c r="A153" s="3" t="s">
        <v>275</v>
      </c>
      <c r="B153" s="3" t="s">
        <v>15</v>
      </c>
      <c r="C153" s="3" t="s">
        <v>17</v>
      </c>
      <c r="D153" s="3" t="s">
        <v>14</v>
      </c>
      <c r="E153" s="3">
        <v>870.23</v>
      </c>
      <c r="F153" s="3">
        <v>5</v>
      </c>
      <c r="G153" s="3">
        <f t="shared" si="4"/>
        <v>870.23</v>
      </c>
      <c r="H153" s="3">
        <v>0.05</v>
      </c>
      <c r="I153" s="4">
        <v>45660</v>
      </c>
      <c r="J153" s="3">
        <v>413.36</v>
      </c>
      <c r="K153" s="31" t="str">
        <f t="shared" si="5"/>
        <v>Jan-2025</v>
      </c>
      <c r="L153" s="31"/>
      <c r="M153" s="31"/>
    </row>
    <row r="154" spans="1:13" ht="15.75" customHeight="1">
      <c r="A154" s="3" t="s">
        <v>276</v>
      </c>
      <c r="B154" s="3" t="s">
        <v>23</v>
      </c>
      <c r="C154" s="3" t="s">
        <v>11</v>
      </c>
      <c r="D154" s="3" t="s">
        <v>22</v>
      </c>
      <c r="E154" s="3">
        <v>862.19</v>
      </c>
      <c r="F154" s="3">
        <v>18</v>
      </c>
      <c r="G154" s="3">
        <f t="shared" si="4"/>
        <v>862.19</v>
      </c>
      <c r="H154" s="3">
        <v>0.05</v>
      </c>
      <c r="I154" s="4">
        <v>45663</v>
      </c>
      <c r="J154" s="3">
        <v>286.68</v>
      </c>
      <c r="K154" s="31" t="str">
        <f t="shared" si="5"/>
        <v>Jan-2025</v>
      </c>
      <c r="L154" s="31"/>
      <c r="M154" s="31"/>
    </row>
    <row r="155" spans="1:13" ht="15.75" customHeight="1">
      <c r="A155" s="3" t="s">
        <v>277</v>
      </c>
      <c r="B155" s="3" t="s">
        <v>40</v>
      </c>
      <c r="C155" s="3" t="s">
        <v>20</v>
      </c>
      <c r="D155" s="3" t="s">
        <v>14</v>
      </c>
      <c r="E155" s="3">
        <v>1171.18</v>
      </c>
      <c r="F155" s="3">
        <v>19</v>
      </c>
      <c r="G155" s="3">
        <f t="shared" si="4"/>
        <v>1171.18</v>
      </c>
      <c r="H155" s="3">
        <v>0.05</v>
      </c>
      <c r="I155" s="4">
        <v>45667</v>
      </c>
      <c r="J155" s="3">
        <v>556.30999999999995</v>
      </c>
      <c r="K155" s="31" t="str">
        <f t="shared" si="5"/>
        <v>Jan-2025</v>
      </c>
      <c r="L155" s="31"/>
      <c r="M155" s="31"/>
    </row>
    <row r="156" spans="1:13" ht="15.75" customHeight="1">
      <c r="A156" s="3" t="s">
        <v>278</v>
      </c>
      <c r="B156" s="3" t="s">
        <v>13</v>
      </c>
      <c r="C156" s="3" t="s">
        <v>17</v>
      </c>
      <c r="D156" s="3" t="s">
        <v>22</v>
      </c>
      <c r="E156" s="3">
        <v>1054.56</v>
      </c>
      <c r="F156" s="3">
        <v>11</v>
      </c>
      <c r="G156" s="3">
        <f t="shared" si="4"/>
        <v>1054.56</v>
      </c>
      <c r="H156" s="3">
        <v>0.1</v>
      </c>
      <c r="I156" s="4">
        <v>45669</v>
      </c>
      <c r="J156" s="3">
        <v>332.19</v>
      </c>
      <c r="K156" s="31" t="str">
        <f t="shared" si="5"/>
        <v>Jan-2025</v>
      </c>
      <c r="L156" s="31"/>
      <c r="M156" s="31"/>
    </row>
    <row r="157" spans="1:13" ht="15.75" customHeight="1">
      <c r="A157" s="3" t="s">
        <v>279</v>
      </c>
      <c r="B157" s="3" t="s">
        <v>19</v>
      </c>
      <c r="C157" s="3" t="s">
        <v>20</v>
      </c>
      <c r="D157" s="3" t="s">
        <v>18</v>
      </c>
      <c r="E157" s="3">
        <v>1681.21</v>
      </c>
      <c r="F157" s="3">
        <v>5</v>
      </c>
      <c r="G157" s="3">
        <f t="shared" si="4"/>
        <v>1681.21</v>
      </c>
      <c r="H157" s="3">
        <v>0.2</v>
      </c>
      <c r="I157" s="4">
        <v>45670</v>
      </c>
      <c r="J157" s="3">
        <v>336.24</v>
      </c>
      <c r="K157" s="31" t="str">
        <f t="shared" si="5"/>
        <v>Jan-2025</v>
      </c>
      <c r="L157" s="31"/>
      <c r="M157" s="31"/>
    </row>
    <row r="158" spans="1:13" ht="15.75" customHeight="1">
      <c r="A158" s="3" t="s">
        <v>280</v>
      </c>
      <c r="B158" s="3" t="s">
        <v>27</v>
      </c>
      <c r="C158" s="3" t="s">
        <v>11</v>
      </c>
      <c r="D158" s="3" t="s">
        <v>14</v>
      </c>
      <c r="E158" s="3">
        <v>379.77</v>
      </c>
      <c r="F158" s="3">
        <v>9</v>
      </c>
      <c r="G158" s="3">
        <f t="shared" si="4"/>
        <v>379.77</v>
      </c>
      <c r="H158" s="3">
        <v>0.05</v>
      </c>
      <c r="I158" s="4">
        <v>45673</v>
      </c>
      <c r="J158" s="3">
        <v>180.39</v>
      </c>
      <c r="K158" s="31" t="str">
        <f t="shared" si="5"/>
        <v>Jan-2025</v>
      </c>
      <c r="L158" s="31"/>
      <c r="M158" s="31"/>
    </row>
    <row r="159" spans="1:13" ht="15.75" customHeight="1">
      <c r="A159" s="3" t="s">
        <v>281</v>
      </c>
      <c r="B159" s="3" t="s">
        <v>32</v>
      </c>
      <c r="C159" s="3" t="s">
        <v>26</v>
      </c>
      <c r="D159" s="3" t="s">
        <v>14</v>
      </c>
      <c r="E159" s="3">
        <v>1076.33</v>
      </c>
      <c r="F159" s="3">
        <v>2</v>
      </c>
      <c r="G159" s="3">
        <f t="shared" si="4"/>
        <v>1076.33</v>
      </c>
      <c r="H159" s="3">
        <v>0.1</v>
      </c>
      <c r="I159" s="4">
        <v>45674</v>
      </c>
      <c r="J159" s="3">
        <v>484.35</v>
      </c>
      <c r="K159" s="31" t="str">
        <f t="shared" si="5"/>
        <v>Jan-2025</v>
      </c>
      <c r="L159" s="31"/>
      <c r="M159" s="31"/>
    </row>
    <row r="160" spans="1:13" ht="15.75" customHeight="1">
      <c r="A160" s="3" t="s">
        <v>282</v>
      </c>
      <c r="B160" s="3" t="s">
        <v>24</v>
      </c>
      <c r="C160" s="3" t="s">
        <v>26</v>
      </c>
      <c r="D160" s="3" t="s">
        <v>29</v>
      </c>
      <c r="E160" s="3">
        <v>1250.71</v>
      </c>
      <c r="F160" s="3">
        <v>7</v>
      </c>
      <c r="G160" s="3">
        <f t="shared" si="4"/>
        <v>1250.71</v>
      </c>
      <c r="H160" s="3">
        <v>0</v>
      </c>
      <c r="I160" s="4">
        <v>45674</v>
      </c>
      <c r="J160" s="3">
        <v>562.82000000000005</v>
      </c>
      <c r="K160" s="31" t="str">
        <f t="shared" si="5"/>
        <v>Jan-2025</v>
      </c>
      <c r="L160" s="31"/>
      <c r="M160" s="31"/>
    </row>
    <row r="161" spans="1:13" ht="15.75" customHeight="1">
      <c r="A161" s="3" t="s">
        <v>283</v>
      </c>
      <c r="B161" s="3" t="s">
        <v>15</v>
      </c>
      <c r="C161" s="3" t="s">
        <v>17</v>
      </c>
      <c r="D161" s="3" t="s">
        <v>14</v>
      </c>
      <c r="E161" s="3">
        <v>1118.3399999999999</v>
      </c>
      <c r="F161" s="3">
        <v>6</v>
      </c>
      <c r="G161" s="3">
        <f t="shared" si="4"/>
        <v>1118.3399999999999</v>
      </c>
      <c r="H161" s="3">
        <v>0.2</v>
      </c>
      <c r="I161" s="4">
        <v>45674</v>
      </c>
      <c r="J161" s="3">
        <v>447.34</v>
      </c>
      <c r="K161" s="31" t="str">
        <f t="shared" si="5"/>
        <v>Jan-2025</v>
      </c>
      <c r="L161" s="31"/>
      <c r="M161" s="31"/>
    </row>
    <row r="162" spans="1:13" ht="15.75" customHeight="1">
      <c r="A162" s="3" t="s">
        <v>284</v>
      </c>
      <c r="B162" s="3" t="s">
        <v>37</v>
      </c>
      <c r="C162" s="3" t="s">
        <v>20</v>
      </c>
      <c r="D162" s="3" t="s">
        <v>14</v>
      </c>
      <c r="E162" s="3">
        <v>1622.62</v>
      </c>
      <c r="F162" s="3">
        <v>12</v>
      </c>
      <c r="G162" s="3">
        <f t="shared" si="4"/>
        <v>1622.62</v>
      </c>
      <c r="H162" s="3">
        <v>0.2</v>
      </c>
      <c r="I162" s="4">
        <v>45677</v>
      </c>
      <c r="J162" s="3">
        <v>649.04999999999995</v>
      </c>
      <c r="K162" s="31" t="str">
        <f t="shared" si="5"/>
        <v>Jan-2025</v>
      </c>
      <c r="L162" s="31"/>
      <c r="M162" s="31"/>
    </row>
    <row r="163" spans="1:13" ht="15.75" customHeight="1">
      <c r="A163" s="3" t="s">
        <v>285</v>
      </c>
      <c r="B163" s="3" t="s">
        <v>34</v>
      </c>
      <c r="C163" s="3" t="s">
        <v>20</v>
      </c>
      <c r="D163" s="3" t="s">
        <v>12</v>
      </c>
      <c r="E163" s="3">
        <v>640.64</v>
      </c>
      <c r="F163" s="3">
        <v>11</v>
      </c>
      <c r="G163" s="3">
        <f t="shared" si="4"/>
        <v>640.64</v>
      </c>
      <c r="H163" s="3">
        <v>0.2</v>
      </c>
      <c r="I163" s="4">
        <v>45678</v>
      </c>
      <c r="J163" s="3">
        <v>205</v>
      </c>
      <c r="K163" s="31" t="str">
        <f t="shared" si="5"/>
        <v>Jan-2025</v>
      </c>
      <c r="L163" s="31"/>
      <c r="M163" s="31"/>
    </row>
    <row r="164" spans="1:13" ht="15.75" customHeight="1">
      <c r="A164" s="3" t="s">
        <v>286</v>
      </c>
      <c r="B164" s="3" t="s">
        <v>31</v>
      </c>
      <c r="C164" s="3" t="s">
        <v>11</v>
      </c>
      <c r="D164" s="3" t="s">
        <v>14</v>
      </c>
      <c r="E164" s="3">
        <v>585.16</v>
      </c>
      <c r="F164" s="3">
        <v>17</v>
      </c>
      <c r="G164" s="3">
        <f t="shared" si="4"/>
        <v>585.16</v>
      </c>
      <c r="H164" s="3">
        <v>0.1</v>
      </c>
      <c r="I164" s="4">
        <v>45684</v>
      </c>
      <c r="J164" s="3">
        <v>263.32</v>
      </c>
      <c r="K164" s="31" t="str">
        <f t="shared" si="5"/>
        <v>Jan-2025</v>
      </c>
      <c r="L164" s="31"/>
      <c r="M164" s="31"/>
    </row>
    <row r="165" spans="1:13" ht="15.75" customHeight="1">
      <c r="A165" s="3" t="s">
        <v>287</v>
      </c>
      <c r="B165" s="3" t="s">
        <v>24</v>
      </c>
      <c r="C165" s="3" t="s">
        <v>16</v>
      </c>
      <c r="D165" s="3" t="s">
        <v>14</v>
      </c>
      <c r="E165" s="3">
        <v>1109.98</v>
      </c>
      <c r="F165" s="3">
        <v>5</v>
      </c>
      <c r="G165" s="3">
        <f t="shared" si="4"/>
        <v>1109.98</v>
      </c>
      <c r="H165" s="3">
        <v>0.2</v>
      </c>
      <c r="I165" s="4">
        <v>45690</v>
      </c>
      <c r="J165" s="3">
        <v>443.99</v>
      </c>
      <c r="K165" s="31" t="str">
        <f t="shared" si="5"/>
        <v>Feb-2025</v>
      </c>
      <c r="L165" s="31"/>
      <c r="M165" s="31"/>
    </row>
    <row r="166" spans="1:13" ht="15.75" customHeight="1">
      <c r="A166" s="3" t="s">
        <v>288</v>
      </c>
      <c r="B166" s="3" t="s">
        <v>32</v>
      </c>
      <c r="C166" s="3" t="s">
        <v>16</v>
      </c>
      <c r="D166" s="3" t="s">
        <v>12</v>
      </c>
      <c r="E166" s="3">
        <v>1098.08</v>
      </c>
      <c r="F166" s="3">
        <v>9</v>
      </c>
      <c r="G166" s="3">
        <f t="shared" si="4"/>
        <v>1098.08</v>
      </c>
      <c r="H166" s="3">
        <v>0.1</v>
      </c>
      <c r="I166" s="4">
        <v>45692</v>
      </c>
      <c r="J166" s="3">
        <v>395.31</v>
      </c>
      <c r="K166" s="31" t="str">
        <f t="shared" si="5"/>
        <v>Feb-2025</v>
      </c>
      <c r="L166" s="31"/>
      <c r="M166" s="31"/>
    </row>
    <row r="167" spans="1:13" ht="15.75" customHeight="1">
      <c r="A167" s="3" t="s">
        <v>289</v>
      </c>
      <c r="B167" s="3" t="s">
        <v>34</v>
      </c>
      <c r="C167" s="3" t="s">
        <v>11</v>
      </c>
      <c r="D167" s="3" t="s">
        <v>29</v>
      </c>
      <c r="E167" s="3">
        <v>827.25</v>
      </c>
      <c r="F167" s="3">
        <v>7</v>
      </c>
      <c r="G167" s="3">
        <f t="shared" si="4"/>
        <v>827.25</v>
      </c>
      <c r="H167" s="3">
        <v>0.1</v>
      </c>
      <c r="I167" s="4">
        <v>45693</v>
      </c>
      <c r="J167" s="3">
        <v>335.04</v>
      </c>
      <c r="K167" s="31" t="str">
        <f t="shared" si="5"/>
        <v>Feb-2025</v>
      </c>
      <c r="L167" s="31"/>
      <c r="M167" s="31"/>
    </row>
    <row r="168" spans="1:13" ht="15.75" customHeight="1">
      <c r="A168" s="3" t="s">
        <v>290</v>
      </c>
      <c r="B168" s="3" t="s">
        <v>23</v>
      </c>
      <c r="C168" s="3" t="s">
        <v>26</v>
      </c>
      <c r="D168" s="3" t="s">
        <v>14</v>
      </c>
      <c r="E168" s="3">
        <v>741.88</v>
      </c>
      <c r="F168" s="3">
        <v>16</v>
      </c>
      <c r="G168" s="3">
        <f t="shared" si="4"/>
        <v>741.88</v>
      </c>
      <c r="H168" s="3">
        <v>0.1</v>
      </c>
      <c r="I168" s="4">
        <v>45695</v>
      </c>
      <c r="J168" s="3">
        <v>333.85</v>
      </c>
      <c r="K168" s="31" t="str">
        <f t="shared" si="5"/>
        <v>Feb-2025</v>
      </c>
      <c r="L168" s="31"/>
      <c r="M168" s="31"/>
    </row>
    <row r="169" spans="1:13" ht="15.75" customHeight="1">
      <c r="A169" s="3" t="s">
        <v>291</v>
      </c>
      <c r="B169" s="3" t="s">
        <v>10</v>
      </c>
      <c r="C169" s="3" t="s">
        <v>16</v>
      </c>
      <c r="D169" s="3" t="s">
        <v>29</v>
      </c>
      <c r="E169" s="3">
        <v>1311.26</v>
      </c>
      <c r="F169" s="3">
        <v>6</v>
      </c>
      <c r="G169" s="3">
        <f t="shared" si="4"/>
        <v>1311.26</v>
      </c>
      <c r="H169" s="3">
        <v>0.1</v>
      </c>
      <c r="I169" s="4">
        <v>45698</v>
      </c>
      <c r="J169" s="3">
        <v>531.05999999999995</v>
      </c>
      <c r="K169" s="31" t="str">
        <f t="shared" si="5"/>
        <v>Feb-2025</v>
      </c>
      <c r="L169" s="31"/>
      <c r="M169" s="31"/>
    </row>
    <row r="170" spans="1:13" ht="15.75" customHeight="1">
      <c r="A170" s="3" t="s">
        <v>292</v>
      </c>
      <c r="B170" s="3" t="s">
        <v>24</v>
      </c>
      <c r="C170" s="3" t="s">
        <v>17</v>
      </c>
      <c r="D170" s="3" t="s">
        <v>29</v>
      </c>
      <c r="E170" s="3">
        <v>573.32000000000005</v>
      </c>
      <c r="F170" s="3">
        <v>19</v>
      </c>
      <c r="G170" s="3">
        <f t="shared" si="4"/>
        <v>573.32000000000005</v>
      </c>
      <c r="H170" s="3">
        <v>0.1</v>
      </c>
      <c r="I170" s="4">
        <v>45703</v>
      </c>
      <c r="J170" s="3">
        <v>232.19</v>
      </c>
      <c r="K170" s="31" t="str">
        <f t="shared" si="5"/>
        <v>Feb-2025</v>
      </c>
      <c r="L170" s="31"/>
      <c r="M170" s="31"/>
    </row>
    <row r="171" spans="1:13" ht="15.75" customHeight="1">
      <c r="A171" s="3" t="s">
        <v>293</v>
      </c>
      <c r="B171" s="3" t="s">
        <v>19</v>
      </c>
      <c r="C171" s="3" t="s">
        <v>11</v>
      </c>
      <c r="D171" s="3" t="s">
        <v>18</v>
      </c>
      <c r="E171" s="3">
        <v>1115.22</v>
      </c>
      <c r="F171" s="3">
        <v>14</v>
      </c>
      <c r="G171" s="3">
        <f t="shared" si="4"/>
        <v>1115.22</v>
      </c>
      <c r="H171" s="3">
        <v>0.2</v>
      </c>
      <c r="I171" s="4">
        <v>45705</v>
      </c>
      <c r="J171" s="3">
        <v>223.04</v>
      </c>
      <c r="K171" s="31" t="str">
        <f t="shared" si="5"/>
        <v>Feb-2025</v>
      </c>
      <c r="L171" s="31"/>
      <c r="M171" s="31"/>
    </row>
    <row r="172" spans="1:13" ht="15.75" customHeight="1">
      <c r="A172" s="3" t="s">
        <v>294</v>
      </c>
      <c r="B172" s="3" t="s">
        <v>32</v>
      </c>
      <c r="C172" s="3" t="s">
        <v>20</v>
      </c>
      <c r="D172" s="3" t="s">
        <v>14</v>
      </c>
      <c r="E172" s="3">
        <v>845.84</v>
      </c>
      <c r="F172" s="3">
        <v>4</v>
      </c>
      <c r="G172" s="3">
        <f t="shared" si="4"/>
        <v>845.84</v>
      </c>
      <c r="H172" s="3">
        <v>0</v>
      </c>
      <c r="I172" s="4">
        <v>45707</v>
      </c>
      <c r="J172" s="3">
        <v>422.92</v>
      </c>
      <c r="K172" s="31" t="str">
        <f t="shared" si="5"/>
        <v>Feb-2025</v>
      </c>
      <c r="L172" s="31"/>
      <c r="M172" s="31"/>
    </row>
    <row r="173" spans="1:13" ht="15.75" customHeight="1">
      <c r="A173" s="3" t="s">
        <v>295</v>
      </c>
      <c r="B173" s="3" t="s">
        <v>38</v>
      </c>
      <c r="C173" s="3" t="s">
        <v>11</v>
      </c>
      <c r="D173" s="3" t="s">
        <v>18</v>
      </c>
      <c r="E173" s="3">
        <v>1029.8</v>
      </c>
      <c r="F173" s="3">
        <v>3</v>
      </c>
      <c r="G173" s="3">
        <f t="shared" si="4"/>
        <v>1029.8</v>
      </c>
      <c r="H173" s="3">
        <v>0</v>
      </c>
      <c r="I173" s="4">
        <v>45708</v>
      </c>
      <c r="J173" s="3">
        <v>257.45</v>
      </c>
      <c r="K173" s="31" t="str">
        <f t="shared" si="5"/>
        <v>Feb-2025</v>
      </c>
      <c r="L173" s="31"/>
      <c r="M173" s="31"/>
    </row>
    <row r="174" spans="1:13" ht="15.75" customHeight="1">
      <c r="A174" s="3" t="s">
        <v>296</v>
      </c>
      <c r="B174" s="3" t="s">
        <v>24</v>
      </c>
      <c r="C174" s="3" t="s">
        <v>20</v>
      </c>
      <c r="D174" s="3" t="s">
        <v>12</v>
      </c>
      <c r="E174" s="3">
        <v>1189.83</v>
      </c>
      <c r="F174" s="3">
        <v>2</v>
      </c>
      <c r="G174" s="3">
        <f t="shared" si="4"/>
        <v>1189.83</v>
      </c>
      <c r="H174" s="3">
        <v>0.2</v>
      </c>
      <c r="I174" s="4">
        <v>45709</v>
      </c>
      <c r="J174" s="3">
        <v>380.75</v>
      </c>
      <c r="K174" s="31" t="str">
        <f t="shared" si="5"/>
        <v>Feb-2025</v>
      </c>
      <c r="L174" s="31"/>
      <c r="M174" s="31"/>
    </row>
    <row r="175" spans="1:13" ht="15.75" customHeight="1">
      <c r="A175" s="3" t="s">
        <v>297</v>
      </c>
      <c r="B175" s="3" t="s">
        <v>31</v>
      </c>
      <c r="C175" s="3" t="s">
        <v>17</v>
      </c>
      <c r="D175" s="3" t="s">
        <v>12</v>
      </c>
      <c r="E175" s="3">
        <v>704.28</v>
      </c>
      <c r="F175" s="3">
        <v>15</v>
      </c>
      <c r="G175" s="3">
        <f t="shared" si="4"/>
        <v>704.28</v>
      </c>
      <c r="H175" s="3">
        <v>0.2</v>
      </c>
      <c r="I175" s="4">
        <v>45712</v>
      </c>
      <c r="J175" s="3">
        <v>225.37</v>
      </c>
      <c r="K175" s="31" t="str">
        <f t="shared" si="5"/>
        <v>Feb-2025</v>
      </c>
      <c r="L175" s="31"/>
      <c r="M175" s="31"/>
    </row>
    <row r="176" spans="1:13" ht="15.75" customHeight="1">
      <c r="A176" s="3" t="s">
        <v>298</v>
      </c>
      <c r="B176" s="3" t="s">
        <v>33</v>
      </c>
      <c r="C176" s="3" t="s">
        <v>26</v>
      </c>
      <c r="D176" s="3" t="s">
        <v>29</v>
      </c>
      <c r="E176" s="3">
        <v>1618.22</v>
      </c>
      <c r="F176" s="3">
        <v>12</v>
      </c>
      <c r="G176" s="3">
        <f t="shared" si="4"/>
        <v>1618.22</v>
      </c>
      <c r="H176" s="3">
        <v>0.2</v>
      </c>
      <c r="I176" s="4">
        <v>45712</v>
      </c>
      <c r="J176" s="3">
        <v>582.55999999999995</v>
      </c>
      <c r="K176" s="31" t="str">
        <f t="shared" si="5"/>
        <v>Feb-2025</v>
      </c>
      <c r="L176" s="31"/>
      <c r="M176" s="31"/>
    </row>
    <row r="177" spans="1:13" ht="15.75" customHeight="1">
      <c r="A177" s="3" t="s">
        <v>299</v>
      </c>
      <c r="B177" s="3" t="s">
        <v>37</v>
      </c>
      <c r="C177" s="3" t="s">
        <v>26</v>
      </c>
      <c r="D177" s="3" t="s">
        <v>12</v>
      </c>
      <c r="E177" s="3">
        <v>1014.43</v>
      </c>
      <c r="F177" s="3">
        <v>2</v>
      </c>
      <c r="G177" s="3">
        <f t="shared" si="4"/>
        <v>1014.43</v>
      </c>
      <c r="H177" s="3">
        <v>0.15</v>
      </c>
      <c r="I177" s="4">
        <v>45713</v>
      </c>
      <c r="J177" s="3">
        <v>344.91</v>
      </c>
      <c r="K177" s="31" t="str">
        <f t="shared" si="5"/>
        <v>Feb-2025</v>
      </c>
      <c r="L177" s="31"/>
      <c r="M177" s="31"/>
    </row>
    <row r="178" spans="1:13" ht="15.75" customHeight="1">
      <c r="A178" s="3" t="s">
        <v>300</v>
      </c>
      <c r="B178" s="3" t="s">
        <v>24</v>
      </c>
      <c r="C178" s="3" t="s">
        <v>26</v>
      </c>
      <c r="D178" s="3" t="s">
        <v>14</v>
      </c>
      <c r="E178" s="3">
        <v>826.97</v>
      </c>
      <c r="F178" s="3">
        <v>18</v>
      </c>
      <c r="G178" s="3">
        <f t="shared" si="4"/>
        <v>826.97</v>
      </c>
      <c r="H178" s="3">
        <v>0.2</v>
      </c>
      <c r="I178" s="4">
        <v>45715</v>
      </c>
      <c r="J178" s="3">
        <v>330.79</v>
      </c>
      <c r="K178" s="31" t="str">
        <f t="shared" si="5"/>
        <v>Feb-2025</v>
      </c>
      <c r="L178" s="31"/>
      <c r="M178" s="31"/>
    </row>
    <row r="179" spans="1:13" ht="15.75" customHeight="1">
      <c r="A179" s="3" t="s">
        <v>301</v>
      </c>
      <c r="B179" s="3" t="s">
        <v>24</v>
      </c>
      <c r="C179" s="3" t="s">
        <v>26</v>
      </c>
      <c r="D179" s="3" t="s">
        <v>14</v>
      </c>
      <c r="E179" s="3">
        <v>1022.23</v>
      </c>
      <c r="F179" s="3">
        <v>8</v>
      </c>
      <c r="G179" s="3">
        <f t="shared" si="4"/>
        <v>1022.23</v>
      </c>
      <c r="H179" s="3">
        <v>0.1</v>
      </c>
      <c r="I179" s="4">
        <v>45717</v>
      </c>
      <c r="J179" s="3">
        <v>460</v>
      </c>
      <c r="K179" s="31" t="str">
        <f t="shared" si="5"/>
        <v>Mar-2025</v>
      </c>
      <c r="L179" s="31"/>
      <c r="M179" s="31"/>
    </row>
    <row r="180" spans="1:13" ht="15.75" customHeight="1">
      <c r="A180" s="3" t="s">
        <v>302</v>
      </c>
      <c r="B180" s="3" t="s">
        <v>23</v>
      </c>
      <c r="C180" s="3" t="s">
        <v>16</v>
      </c>
      <c r="D180" s="3" t="s">
        <v>12</v>
      </c>
      <c r="E180" s="3">
        <v>1099.69</v>
      </c>
      <c r="F180" s="3">
        <v>6</v>
      </c>
      <c r="G180" s="3">
        <f t="shared" si="4"/>
        <v>1099.69</v>
      </c>
      <c r="H180" s="3">
        <v>0</v>
      </c>
      <c r="I180" s="4">
        <v>45718</v>
      </c>
      <c r="J180" s="3">
        <v>439.88</v>
      </c>
      <c r="K180" s="31" t="str">
        <f t="shared" si="5"/>
        <v>Mar-2025</v>
      </c>
      <c r="L180" s="31"/>
      <c r="M180" s="31"/>
    </row>
    <row r="181" spans="1:13" ht="15.75" customHeight="1">
      <c r="A181" s="3" t="s">
        <v>303</v>
      </c>
      <c r="B181" s="3" t="s">
        <v>43</v>
      </c>
      <c r="C181" s="3" t="s">
        <v>20</v>
      </c>
      <c r="D181" s="3" t="s">
        <v>12</v>
      </c>
      <c r="E181" s="3">
        <v>710.52</v>
      </c>
      <c r="F181" s="3">
        <v>8</v>
      </c>
      <c r="G181" s="3">
        <f t="shared" si="4"/>
        <v>710.52</v>
      </c>
      <c r="H181" s="3">
        <v>0.1</v>
      </c>
      <c r="I181" s="4">
        <v>45721</v>
      </c>
      <c r="J181" s="3">
        <v>255.79</v>
      </c>
      <c r="K181" s="31" t="str">
        <f t="shared" si="5"/>
        <v>Mar-2025</v>
      </c>
      <c r="L181" s="31"/>
      <c r="M181" s="31"/>
    </row>
    <row r="182" spans="1:13" ht="15.75" customHeight="1">
      <c r="A182" s="3" t="s">
        <v>304</v>
      </c>
      <c r="B182" s="3" t="s">
        <v>40</v>
      </c>
      <c r="C182" s="3" t="s">
        <v>20</v>
      </c>
      <c r="D182" s="3" t="s">
        <v>12</v>
      </c>
      <c r="E182" s="3">
        <v>499.18</v>
      </c>
      <c r="F182" s="3">
        <v>15</v>
      </c>
      <c r="G182" s="3">
        <f t="shared" si="4"/>
        <v>499.18</v>
      </c>
      <c r="H182" s="3">
        <v>0.2</v>
      </c>
      <c r="I182" s="4">
        <v>45724</v>
      </c>
      <c r="J182" s="3">
        <v>159.74</v>
      </c>
      <c r="K182" s="31" t="str">
        <f t="shared" si="5"/>
        <v>Mar-2025</v>
      </c>
      <c r="L182" s="31"/>
      <c r="M182" s="31"/>
    </row>
    <row r="183" spans="1:13" ht="15.75" customHeight="1">
      <c r="A183" s="3" t="s">
        <v>305</v>
      </c>
      <c r="B183" s="3" t="s">
        <v>28</v>
      </c>
      <c r="C183" s="3" t="s">
        <v>17</v>
      </c>
      <c r="D183" s="3" t="s">
        <v>12</v>
      </c>
      <c r="E183" s="3">
        <v>1064.19</v>
      </c>
      <c r="F183" s="3">
        <v>18</v>
      </c>
      <c r="G183" s="3">
        <f t="shared" si="4"/>
        <v>1064.19</v>
      </c>
      <c r="H183" s="3">
        <v>0.05</v>
      </c>
      <c r="I183" s="4">
        <v>45725</v>
      </c>
      <c r="J183" s="3">
        <v>404.39</v>
      </c>
      <c r="K183" s="31" t="str">
        <f t="shared" si="5"/>
        <v>Mar-2025</v>
      </c>
      <c r="L183" s="31"/>
      <c r="M183" s="31"/>
    </row>
    <row r="184" spans="1:13" ht="15.75" customHeight="1">
      <c r="A184" s="3" t="s">
        <v>306</v>
      </c>
      <c r="B184" s="3" t="s">
        <v>28</v>
      </c>
      <c r="C184" s="3" t="s">
        <v>16</v>
      </c>
      <c r="D184" s="3" t="s">
        <v>29</v>
      </c>
      <c r="E184" s="3">
        <v>438.76</v>
      </c>
      <c r="F184" s="3">
        <v>18</v>
      </c>
      <c r="G184" s="3">
        <f t="shared" si="4"/>
        <v>438.76</v>
      </c>
      <c r="H184" s="3">
        <v>0.05</v>
      </c>
      <c r="I184" s="4">
        <v>45726</v>
      </c>
      <c r="J184" s="3">
        <v>187.57</v>
      </c>
      <c r="K184" s="31" t="str">
        <f t="shared" si="5"/>
        <v>Mar-2025</v>
      </c>
      <c r="L184" s="31"/>
      <c r="M184" s="31"/>
    </row>
    <row r="185" spans="1:13" ht="15.75" customHeight="1">
      <c r="A185" s="3" t="s">
        <v>307</v>
      </c>
      <c r="B185" s="3" t="s">
        <v>38</v>
      </c>
      <c r="C185" s="3" t="s">
        <v>11</v>
      </c>
      <c r="D185" s="3" t="s">
        <v>14</v>
      </c>
      <c r="E185" s="3">
        <v>864.98</v>
      </c>
      <c r="F185" s="3">
        <v>2</v>
      </c>
      <c r="G185" s="3">
        <f t="shared" si="4"/>
        <v>864.98</v>
      </c>
      <c r="H185" s="3">
        <v>0.05</v>
      </c>
      <c r="I185" s="4">
        <v>45727</v>
      </c>
      <c r="J185" s="3">
        <v>410.87</v>
      </c>
      <c r="K185" s="31" t="str">
        <f t="shared" si="5"/>
        <v>Mar-2025</v>
      </c>
      <c r="L185" s="31"/>
      <c r="M185" s="31"/>
    </row>
    <row r="186" spans="1:13" ht="15.75" customHeight="1">
      <c r="A186" s="3" t="s">
        <v>308</v>
      </c>
      <c r="B186" s="3" t="s">
        <v>38</v>
      </c>
      <c r="C186" s="3" t="s">
        <v>11</v>
      </c>
      <c r="D186" s="3" t="s">
        <v>22</v>
      </c>
      <c r="E186" s="3">
        <v>984.93</v>
      </c>
      <c r="F186" s="3">
        <v>14</v>
      </c>
      <c r="G186" s="3">
        <f t="shared" si="4"/>
        <v>984.93</v>
      </c>
      <c r="H186" s="3">
        <v>0.2</v>
      </c>
      <c r="I186" s="4">
        <v>45733</v>
      </c>
      <c r="J186" s="3">
        <v>275.77999999999997</v>
      </c>
      <c r="K186" s="31" t="str">
        <f t="shared" si="5"/>
        <v>Mar-2025</v>
      </c>
      <c r="L186" s="31"/>
      <c r="M186" s="31"/>
    </row>
    <row r="187" spans="1:13" ht="15.75" customHeight="1">
      <c r="A187" s="3" t="s">
        <v>309</v>
      </c>
      <c r="B187" s="3" t="s">
        <v>38</v>
      </c>
      <c r="C187" s="3" t="s">
        <v>11</v>
      </c>
      <c r="D187" s="3" t="s">
        <v>14</v>
      </c>
      <c r="E187" s="3">
        <v>1493.49</v>
      </c>
      <c r="F187" s="3">
        <v>18</v>
      </c>
      <c r="G187" s="3">
        <f t="shared" si="4"/>
        <v>1493.49</v>
      </c>
      <c r="H187" s="3">
        <v>0</v>
      </c>
      <c r="I187" s="4">
        <v>45734</v>
      </c>
      <c r="J187" s="3">
        <v>746.74</v>
      </c>
      <c r="K187" s="31" t="str">
        <f t="shared" si="5"/>
        <v>Mar-2025</v>
      </c>
      <c r="L187" s="31"/>
      <c r="M187" s="31"/>
    </row>
    <row r="188" spans="1:13" ht="15.75" customHeight="1">
      <c r="A188" s="3" t="s">
        <v>310</v>
      </c>
      <c r="B188" s="3" t="s">
        <v>37</v>
      </c>
      <c r="C188" s="3" t="s">
        <v>17</v>
      </c>
      <c r="D188" s="3" t="s">
        <v>14</v>
      </c>
      <c r="E188" s="3">
        <v>689.43</v>
      </c>
      <c r="F188" s="3">
        <v>9</v>
      </c>
      <c r="G188" s="3">
        <f t="shared" si="4"/>
        <v>689.43</v>
      </c>
      <c r="H188" s="3">
        <v>0.1</v>
      </c>
      <c r="I188" s="4">
        <v>45736</v>
      </c>
      <c r="J188" s="3">
        <v>310.24</v>
      </c>
      <c r="K188" s="31" t="str">
        <f t="shared" si="5"/>
        <v>Mar-2025</v>
      </c>
      <c r="L188" s="31"/>
      <c r="M188" s="31"/>
    </row>
    <row r="189" spans="1:13" ht="15.75" customHeight="1">
      <c r="A189" s="3" t="s">
        <v>311</v>
      </c>
      <c r="B189" s="3" t="s">
        <v>40</v>
      </c>
      <c r="C189" s="3" t="s">
        <v>17</v>
      </c>
      <c r="D189" s="3" t="s">
        <v>14</v>
      </c>
      <c r="E189" s="3">
        <v>682.24</v>
      </c>
      <c r="F189" s="3">
        <v>1</v>
      </c>
      <c r="G189" s="3">
        <f t="shared" si="4"/>
        <v>682.24</v>
      </c>
      <c r="H189" s="3">
        <v>0</v>
      </c>
      <c r="I189" s="4">
        <v>45738</v>
      </c>
      <c r="J189" s="3">
        <v>341.12</v>
      </c>
      <c r="K189" s="31" t="str">
        <f t="shared" si="5"/>
        <v>Mar-2025</v>
      </c>
      <c r="L189" s="31"/>
      <c r="M189" s="31"/>
    </row>
    <row r="190" spans="1:13" ht="15.75" customHeight="1">
      <c r="A190" s="3" t="s">
        <v>312</v>
      </c>
      <c r="B190" s="3" t="s">
        <v>21</v>
      </c>
      <c r="C190" s="3" t="s">
        <v>20</v>
      </c>
      <c r="D190" s="3" t="s">
        <v>18</v>
      </c>
      <c r="E190" s="3">
        <v>458.54</v>
      </c>
      <c r="F190" s="3">
        <v>15</v>
      </c>
      <c r="G190" s="3">
        <f t="shared" si="4"/>
        <v>458.54</v>
      </c>
      <c r="H190" s="3">
        <v>0.2</v>
      </c>
      <c r="I190" s="4">
        <v>45741</v>
      </c>
      <c r="J190" s="3">
        <v>91.71</v>
      </c>
      <c r="K190" s="31" t="str">
        <f t="shared" si="5"/>
        <v>Mar-2025</v>
      </c>
      <c r="L190" s="31"/>
      <c r="M190" s="31"/>
    </row>
    <row r="191" spans="1:13" ht="15.75" customHeight="1">
      <c r="A191" s="3" t="s">
        <v>313</v>
      </c>
      <c r="B191" s="3" t="s">
        <v>21</v>
      </c>
      <c r="C191" s="3" t="s">
        <v>17</v>
      </c>
      <c r="D191" s="3" t="s">
        <v>22</v>
      </c>
      <c r="E191" s="3">
        <v>1184.25</v>
      </c>
      <c r="F191" s="3">
        <v>11</v>
      </c>
      <c r="G191" s="3">
        <f t="shared" si="4"/>
        <v>1184.25</v>
      </c>
      <c r="H191" s="3">
        <v>0.2</v>
      </c>
      <c r="I191" s="4">
        <v>45742</v>
      </c>
      <c r="J191" s="3">
        <v>331.59</v>
      </c>
      <c r="K191" s="31" t="str">
        <f t="shared" si="5"/>
        <v>Mar-2025</v>
      </c>
      <c r="L191" s="31"/>
      <c r="M191" s="31"/>
    </row>
    <row r="192" spans="1:13" ht="15.75" customHeight="1">
      <c r="A192" s="3" t="s">
        <v>314</v>
      </c>
      <c r="B192" s="3" t="s">
        <v>10</v>
      </c>
      <c r="C192" s="3" t="s">
        <v>17</v>
      </c>
      <c r="D192" s="3" t="s">
        <v>14</v>
      </c>
      <c r="E192" s="3">
        <v>762.14</v>
      </c>
      <c r="F192" s="3">
        <v>9</v>
      </c>
      <c r="G192" s="3">
        <f t="shared" si="4"/>
        <v>762.14</v>
      </c>
      <c r="H192" s="3">
        <v>0</v>
      </c>
      <c r="I192" s="4">
        <v>45743</v>
      </c>
      <c r="J192" s="3">
        <v>381.07</v>
      </c>
      <c r="K192" s="31" t="str">
        <f t="shared" si="5"/>
        <v>Mar-2025</v>
      </c>
      <c r="L192" s="31"/>
      <c r="M192" s="31"/>
    </row>
    <row r="193" spans="1:13" ht="15.75" customHeight="1">
      <c r="A193" s="3" t="s">
        <v>315</v>
      </c>
      <c r="B193" s="3" t="s">
        <v>37</v>
      </c>
      <c r="C193" s="3" t="s">
        <v>20</v>
      </c>
      <c r="D193" s="3" t="s">
        <v>12</v>
      </c>
      <c r="E193" s="3">
        <v>750.71</v>
      </c>
      <c r="F193" s="3">
        <v>10</v>
      </c>
      <c r="G193" s="3">
        <f t="shared" si="4"/>
        <v>750.71</v>
      </c>
      <c r="H193" s="3">
        <v>0.15</v>
      </c>
      <c r="I193" s="4">
        <v>45743</v>
      </c>
      <c r="J193" s="3">
        <v>255.24</v>
      </c>
      <c r="K193" s="31" t="str">
        <f t="shared" si="5"/>
        <v>Mar-2025</v>
      </c>
      <c r="L193" s="31"/>
      <c r="M193" s="31"/>
    </row>
    <row r="194" spans="1:13" ht="15.75" customHeight="1">
      <c r="A194" s="3" t="s">
        <v>316</v>
      </c>
      <c r="B194" s="3" t="s">
        <v>46</v>
      </c>
      <c r="C194" s="3" t="s">
        <v>26</v>
      </c>
      <c r="D194" s="3" t="s">
        <v>14</v>
      </c>
      <c r="E194" s="3">
        <v>1456.94</v>
      </c>
      <c r="F194" s="3">
        <v>14</v>
      </c>
      <c r="G194" s="3">
        <f t="shared" si="4"/>
        <v>1456.94</v>
      </c>
      <c r="H194" s="3">
        <v>0.05</v>
      </c>
      <c r="I194" s="4">
        <v>45745</v>
      </c>
      <c r="J194" s="3">
        <v>692.05</v>
      </c>
      <c r="K194" s="31" t="str">
        <f t="shared" si="5"/>
        <v>Mar-2025</v>
      </c>
      <c r="L194" s="31"/>
      <c r="M194" s="31"/>
    </row>
    <row r="195" spans="1:13" ht="15.75" customHeight="1">
      <c r="A195" s="3" t="s">
        <v>317</v>
      </c>
      <c r="B195" s="3" t="s">
        <v>41</v>
      </c>
      <c r="C195" s="3" t="s">
        <v>16</v>
      </c>
      <c r="D195" s="3" t="s">
        <v>22</v>
      </c>
      <c r="E195" s="3">
        <v>1093.3800000000001</v>
      </c>
      <c r="F195" s="3">
        <v>17</v>
      </c>
      <c r="G195" s="3">
        <f t="shared" ref="G195:G201" si="6">SUMIF($A:$A,A195,$E:$E)</f>
        <v>1093.3800000000001</v>
      </c>
      <c r="H195" s="3">
        <v>0.1</v>
      </c>
      <c r="I195" s="4">
        <v>45745</v>
      </c>
      <c r="J195" s="3">
        <v>344.41</v>
      </c>
      <c r="K195" s="31" t="str">
        <f t="shared" ref="K195:K201" si="7">TEXT(I195, "MMM-YYYY")</f>
        <v>Mar-2025</v>
      </c>
      <c r="L195" s="31"/>
      <c r="M195" s="31"/>
    </row>
    <row r="196" spans="1:13" ht="15.75" customHeight="1">
      <c r="A196" s="3" t="s">
        <v>318</v>
      </c>
      <c r="B196" s="3" t="s">
        <v>31</v>
      </c>
      <c r="C196" s="3" t="s">
        <v>11</v>
      </c>
      <c r="D196" s="3" t="s">
        <v>14</v>
      </c>
      <c r="E196" s="3">
        <v>934.27</v>
      </c>
      <c r="F196" s="3">
        <v>8</v>
      </c>
      <c r="G196" s="3">
        <f t="shared" si="6"/>
        <v>934.27</v>
      </c>
      <c r="H196" s="3">
        <v>0.15</v>
      </c>
      <c r="I196" s="4">
        <v>45746</v>
      </c>
      <c r="J196" s="3">
        <v>397.06</v>
      </c>
      <c r="K196" s="31" t="str">
        <f t="shared" si="7"/>
        <v>Mar-2025</v>
      </c>
      <c r="L196" s="31"/>
      <c r="M196" s="31"/>
    </row>
    <row r="197" spans="1:13" ht="15.75" customHeight="1">
      <c r="A197" s="3" t="s">
        <v>319</v>
      </c>
      <c r="B197" s="3" t="s">
        <v>27</v>
      </c>
      <c r="C197" s="3" t="s">
        <v>26</v>
      </c>
      <c r="D197" s="3" t="s">
        <v>14</v>
      </c>
      <c r="E197" s="3">
        <v>1465.35</v>
      </c>
      <c r="F197" s="3">
        <v>8</v>
      </c>
      <c r="G197" s="3">
        <f t="shared" si="6"/>
        <v>1465.35</v>
      </c>
      <c r="H197" s="3">
        <v>0.2</v>
      </c>
      <c r="I197" s="4">
        <v>45746</v>
      </c>
      <c r="J197" s="3">
        <v>586.14</v>
      </c>
      <c r="K197" s="31" t="str">
        <f t="shared" si="7"/>
        <v>Mar-2025</v>
      </c>
      <c r="L197" s="31"/>
      <c r="M197" s="31"/>
    </row>
    <row r="198" spans="1:13" ht="15.75" customHeight="1">
      <c r="A198" s="3" t="s">
        <v>320</v>
      </c>
      <c r="B198" s="3" t="s">
        <v>13</v>
      </c>
      <c r="C198" s="3" t="s">
        <v>17</v>
      </c>
      <c r="D198" s="3" t="s">
        <v>29</v>
      </c>
      <c r="E198" s="3">
        <v>740.8</v>
      </c>
      <c r="F198" s="3">
        <v>3</v>
      </c>
      <c r="G198" s="3">
        <f t="shared" si="6"/>
        <v>740.8</v>
      </c>
      <c r="H198" s="3">
        <v>0</v>
      </c>
      <c r="I198" s="4">
        <v>45749</v>
      </c>
      <c r="J198" s="3">
        <v>333.36</v>
      </c>
      <c r="K198" s="31" t="str">
        <f t="shared" si="7"/>
        <v>Apr-2025</v>
      </c>
      <c r="L198" s="31"/>
      <c r="M198" s="31"/>
    </row>
    <row r="199" spans="1:13" ht="15.75" customHeight="1">
      <c r="A199" s="3" t="s">
        <v>321</v>
      </c>
      <c r="B199" s="3" t="s">
        <v>31</v>
      </c>
      <c r="C199" s="3" t="s">
        <v>11</v>
      </c>
      <c r="D199" s="3" t="s">
        <v>29</v>
      </c>
      <c r="E199" s="3">
        <v>545.44000000000005</v>
      </c>
      <c r="F199" s="3">
        <v>17</v>
      </c>
      <c r="G199" s="3">
        <f t="shared" si="6"/>
        <v>545.44000000000005</v>
      </c>
      <c r="H199" s="3">
        <v>0</v>
      </c>
      <c r="I199" s="4">
        <v>45752</v>
      </c>
      <c r="J199" s="3">
        <v>245.45</v>
      </c>
      <c r="K199" s="31" t="str">
        <f t="shared" si="7"/>
        <v>Apr-2025</v>
      </c>
      <c r="L199" s="31"/>
      <c r="M199" s="31"/>
    </row>
    <row r="200" spans="1:13" ht="15.75" customHeight="1">
      <c r="A200" s="3" t="s">
        <v>322</v>
      </c>
      <c r="B200" s="3" t="s">
        <v>27</v>
      </c>
      <c r="C200" s="3" t="s">
        <v>16</v>
      </c>
      <c r="D200" s="3" t="s">
        <v>12</v>
      </c>
      <c r="E200" s="3">
        <v>997.61</v>
      </c>
      <c r="F200" s="3">
        <v>8</v>
      </c>
      <c r="G200" s="3">
        <f t="shared" si="6"/>
        <v>997.61</v>
      </c>
      <c r="H200" s="3">
        <v>0.05</v>
      </c>
      <c r="I200" s="4">
        <v>45752</v>
      </c>
      <c r="J200" s="3">
        <v>379.09</v>
      </c>
      <c r="K200" s="31" t="str">
        <f t="shared" si="7"/>
        <v>Apr-2025</v>
      </c>
      <c r="L200" s="31"/>
      <c r="M200" s="31"/>
    </row>
    <row r="201" spans="1:13" ht="15.75" customHeight="1">
      <c r="A201" s="3" t="s">
        <v>323</v>
      </c>
      <c r="B201" s="3" t="s">
        <v>27</v>
      </c>
      <c r="C201" s="3" t="s">
        <v>17</v>
      </c>
      <c r="D201" s="3" t="s">
        <v>14</v>
      </c>
      <c r="E201" s="3">
        <v>928.32</v>
      </c>
      <c r="F201" s="3">
        <v>2</v>
      </c>
      <c r="G201" s="3">
        <f t="shared" si="6"/>
        <v>928.32</v>
      </c>
      <c r="H201" s="3">
        <v>0.05</v>
      </c>
      <c r="I201" s="4">
        <v>45754</v>
      </c>
      <c r="J201" s="3">
        <v>440.95</v>
      </c>
      <c r="K201" s="31" t="str">
        <f t="shared" si="7"/>
        <v>Apr-2025</v>
      </c>
      <c r="L201" s="31"/>
      <c r="M201" s="31"/>
    </row>
    <row r="202" spans="1:13" ht="15.75" customHeight="1"/>
    <row r="203" spans="1:13" ht="15.75" customHeight="1"/>
    <row r="204" spans="1:13" ht="15.75" customHeight="1"/>
    <row r="205" spans="1:13" ht="15.75" customHeight="1"/>
    <row r="206" spans="1:13" ht="15.75" customHeight="1"/>
    <row r="207" spans="1:13" ht="15.75" customHeight="1"/>
    <row r="208" spans="1:13"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cenarios current="2" show="2" sqref="L4">
    <scenario name="dis_1" locked="1" count="1" user="Meet" comment="Created by Meet on 12-02-2026">
      <inputCells r="S24" val="0.7" numFmtId="9"/>
    </scenario>
    <scenario name="dis_2" locked="1" count="1" user="Meet" comment="Created by Meet on 12-02-2026">
      <inputCells r="S24" val="0.5" numFmtId="9"/>
    </scenario>
    <scenario name="dis_3" locked="1" count="1" user="Meet" comment="Created by Meet on 12-02-2026">
      <inputCells r="S24" val="0.9" numFmtId="9"/>
    </scenario>
  </scenarios>
  <mergeCells count="6">
    <mergeCell ref="R1:Z1"/>
    <mergeCell ref="R22:S22"/>
    <mergeCell ref="N11:N14"/>
    <mergeCell ref="N6:P6"/>
    <mergeCell ref="O7:O10"/>
    <mergeCell ref="N7:N10"/>
  </mergeCells>
  <phoneticPr fontId="17" type="noConversion"/>
  <conditionalFormatting sqref="A2:J201">
    <cfRule type="expression" dxfId="0" priority="3">
      <formula>$G2&gt;=LARGE($G$2:$G$201,10)</formula>
    </cfRule>
  </conditionalFormatting>
  <conditionalFormatting sqref="P23:P35">
    <cfRule type="iconSet" priority="1">
      <iconSet iconSet="3Arrows">
        <cfvo type="percent" val="0"/>
        <cfvo type="percent" val="33"/>
        <cfvo type="percent" val="67"/>
      </iconSet>
    </cfRule>
  </conditionalFormatting>
  <pageMargins left="0.75" right="0.75" top="1" bottom="1" header="0" footer="0"/>
  <pageSetup orientation="landscape"/>
  <extLst>
    <ext xmlns:x14="http://schemas.microsoft.com/office/spreadsheetml/2009/9/main" uri="{78C0D931-6437-407d-A8EE-F0AAD7539E65}">
      <x14:conditionalFormattings>
        <x14:conditionalFormatting xmlns:xm="http://schemas.microsoft.com/office/excel/2006/main">
          <x14:cfRule type="iconSet" priority="9" id="{84F03212-E8A7-491E-BA81-D790CB5AF8C1}">
            <x14:iconSet iconSet="3Triangles">
              <x14:cfvo type="percent">
                <xm:f>0</xm:f>
              </x14:cfvo>
              <x14:cfvo type="percent">
                <xm:f>33</xm:f>
              </x14:cfvo>
              <x14:cfvo type="percent">
                <xm:f>67</xm:f>
              </x14:cfvo>
            </x14:iconSet>
          </x14:cfRule>
          <xm:sqref>A2:A201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913D-84DA-41CF-9229-FF61DE026700}">
  <sheetPr>
    <outlinePr summaryBelow="0"/>
  </sheetPr>
  <dimension ref="B2:G11"/>
  <sheetViews>
    <sheetView topLeftCell="A2" zoomScale="81" zoomScaleNormal="100" workbookViewId="0">
      <selection activeCell="F26" sqref="F26"/>
    </sheetView>
  </sheetViews>
  <sheetFormatPr defaultRowHeight="14.5" outlineLevelRow="1" outlineLevelCol="1"/>
  <cols>
    <col min="3" max="3" width="4.90625" bestFit="1" customWidth="1"/>
    <col min="4" max="7" width="13.08984375" bestFit="1" customWidth="1" outlineLevel="1"/>
  </cols>
  <sheetData>
    <row r="2" spans="2:7" ht="15.5">
      <c r="B2" s="39" t="s">
        <v>114</v>
      </c>
      <c r="C2" s="39"/>
      <c r="D2" s="40"/>
      <c r="E2" s="40"/>
      <c r="F2" s="40"/>
      <c r="G2" s="40"/>
    </row>
    <row r="3" spans="2:7" ht="15.5" collapsed="1">
      <c r="B3" s="39"/>
      <c r="C3" s="39"/>
      <c r="D3" s="40" t="s">
        <v>116</v>
      </c>
      <c r="E3" s="40" t="s">
        <v>110</v>
      </c>
      <c r="F3" s="40" t="s">
        <v>112</v>
      </c>
      <c r="G3" s="40" t="s">
        <v>113</v>
      </c>
    </row>
    <row r="4" spans="2:7" ht="21" hidden="1" outlineLevel="1">
      <c r="B4" s="41"/>
      <c r="C4" s="41"/>
      <c r="D4" s="22"/>
      <c r="E4" s="42" t="s">
        <v>111</v>
      </c>
      <c r="F4" s="42" t="s">
        <v>111</v>
      </c>
      <c r="G4" s="42" t="s">
        <v>111</v>
      </c>
    </row>
    <row r="5" spans="2:7">
      <c r="B5" s="43" t="s">
        <v>115</v>
      </c>
      <c r="C5" s="43"/>
      <c r="D5" s="22"/>
      <c r="E5" s="22"/>
      <c r="F5" s="22"/>
      <c r="G5" s="22"/>
    </row>
    <row r="6" spans="2:7" outlineLevel="1">
      <c r="B6" s="41"/>
      <c r="C6" s="41" t="s">
        <v>108</v>
      </c>
      <c r="D6" s="25">
        <v>0.7</v>
      </c>
      <c r="E6" s="44">
        <v>0.7</v>
      </c>
      <c r="F6" s="44">
        <v>0.5</v>
      </c>
      <c r="G6" s="44">
        <v>0.9</v>
      </c>
    </row>
    <row r="7" spans="2:7">
      <c r="B7" s="43" t="s">
        <v>117</v>
      </c>
      <c r="C7" s="43"/>
      <c r="D7" s="22"/>
      <c r="E7" s="22"/>
      <c r="F7" s="22"/>
      <c r="G7" s="22"/>
    </row>
    <row r="8" spans="2:7" outlineLevel="1">
      <c r="B8" s="41"/>
      <c r="C8" s="41" t="s">
        <v>109</v>
      </c>
      <c r="D8" s="23">
        <v>20486.102999999999</v>
      </c>
      <c r="E8" s="23">
        <v>20486.102999999999</v>
      </c>
      <c r="F8" s="23">
        <v>34143.504999999997</v>
      </c>
      <c r="G8" s="23">
        <v>6828.701</v>
      </c>
    </row>
    <row r="9" spans="2:7">
      <c r="B9" s="22" t="s">
        <v>118</v>
      </c>
      <c r="C9" s="22"/>
      <c r="D9" s="22"/>
      <c r="E9" s="22"/>
      <c r="F9" s="22"/>
      <c r="G9" s="22"/>
    </row>
    <row r="10" spans="2:7">
      <c r="B10" s="22" t="s">
        <v>119</v>
      </c>
      <c r="C10" s="22"/>
      <c r="D10" s="22"/>
      <c r="E10" s="22"/>
      <c r="F10" s="22"/>
      <c r="G10" s="22"/>
    </row>
    <row r="11" spans="2:7">
      <c r="B11" s="22" t="s">
        <v>120</v>
      </c>
      <c r="C11" s="22"/>
      <c r="D11" s="22"/>
      <c r="E11" s="22"/>
      <c r="F11" s="22"/>
      <c r="G11" s="2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9E72-DC1F-4EBB-8EA4-9CC33BDECDAA}">
  <dimension ref="A1:FE190"/>
  <sheetViews>
    <sheetView showGridLines="0" zoomScale="39" zoomScaleNormal="57" workbookViewId="0">
      <selection activeCell="Y33" sqref="Y33"/>
    </sheetView>
  </sheetViews>
  <sheetFormatPr defaultRowHeight="14.5"/>
  <cols>
    <col min="8" max="8" width="8.7265625" customWidth="1"/>
  </cols>
  <sheetData>
    <row r="1" spans="1:161">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row>
    <row r="2" spans="1:16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row>
    <row r="3" spans="1:16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c r="EV3" s="50"/>
      <c r="EW3" s="50"/>
      <c r="EX3" s="50"/>
      <c r="EY3" s="50"/>
      <c r="EZ3" s="50"/>
      <c r="FA3" s="50"/>
      <c r="FB3" s="50"/>
      <c r="FC3" s="50"/>
      <c r="FD3" s="50"/>
      <c r="FE3" s="50"/>
    </row>
    <row r="4" spans="1:161">
      <c r="A4" s="51"/>
      <c r="B4" s="51"/>
      <c r="C4" s="51"/>
      <c r="D4" s="51"/>
      <c r="E4" s="51"/>
      <c r="F4" s="51"/>
      <c r="G4" s="51"/>
      <c r="H4" s="51"/>
      <c r="I4" s="51"/>
      <c r="J4" s="51"/>
      <c r="K4" s="51"/>
      <c r="L4" s="51"/>
      <c r="M4" s="51"/>
      <c r="N4" s="51"/>
      <c r="O4" s="51"/>
      <c r="P4" s="51"/>
      <c r="Q4" s="51"/>
      <c r="R4" s="51"/>
      <c r="S4" s="51"/>
      <c r="T4" s="51"/>
      <c r="U4" s="51"/>
      <c r="V4" s="51"/>
      <c r="W4" s="51"/>
      <c r="X4" s="51"/>
      <c r="Y4" s="51"/>
      <c r="Z4" s="51"/>
      <c r="AA4" s="51"/>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c r="EL4" s="50"/>
      <c r="EM4" s="50"/>
      <c r="EN4" s="50"/>
      <c r="EO4" s="50"/>
      <c r="EP4" s="50"/>
      <c r="EQ4" s="50"/>
      <c r="ER4" s="50"/>
      <c r="ES4" s="50"/>
      <c r="ET4" s="50"/>
      <c r="EU4" s="50"/>
      <c r="EV4" s="50"/>
      <c r="EW4" s="50"/>
      <c r="EX4" s="50"/>
      <c r="EY4" s="50"/>
      <c r="EZ4" s="50"/>
      <c r="FA4" s="50"/>
      <c r="FB4" s="50"/>
      <c r="FC4" s="50"/>
      <c r="FD4" s="50"/>
      <c r="FE4" s="50"/>
    </row>
    <row r="5" spans="1:161">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row>
    <row r="6" spans="1:161">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50"/>
      <c r="ED6" s="50"/>
      <c r="EE6" s="50"/>
      <c r="EF6" s="50"/>
      <c r="EG6" s="50"/>
      <c r="EH6" s="50"/>
      <c r="EI6" s="50"/>
      <c r="EJ6" s="50"/>
      <c r="EK6" s="50"/>
      <c r="EL6" s="50"/>
      <c r="EM6" s="50"/>
      <c r="EN6" s="50"/>
      <c r="EO6" s="50"/>
      <c r="EP6" s="50"/>
      <c r="EQ6" s="50"/>
      <c r="ER6" s="50"/>
      <c r="ES6" s="50"/>
      <c r="ET6" s="50"/>
      <c r="EU6" s="50"/>
      <c r="EV6" s="50"/>
      <c r="EW6" s="50"/>
      <c r="EX6" s="50"/>
      <c r="EY6" s="50"/>
      <c r="EZ6" s="50"/>
      <c r="FA6" s="50"/>
      <c r="FB6" s="50"/>
      <c r="FC6" s="50"/>
      <c r="FD6" s="50"/>
      <c r="FE6" s="50"/>
    </row>
    <row r="7" spans="1:161">
      <c r="A7" s="51"/>
      <c r="B7" s="51"/>
      <c r="C7" s="51"/>
      <c r="D7" s="51"/>
      <c r="E7" s="51"/>
      <c r="F7" s="51"/>
      <c r="G7" s="51"/>
      <c r="H7" s="51"/>
      <c r="I7" s="51"/>
      <c r="J7" s="51"/>
      <c r="K7" s="51"/>
      <c r="L7" s="51"/>
      <c r="M7" s="51"/>
      <c r="N7" s="51"/>
      <c r="O7" s="51"/>
      <c r="P7" s="51"/>
      <c r="Q7" s="51"/>
      <c r="R7" s="51"/>
      <c r="S7" s="51"/>
      <c r="T7" s="51"/>
      <c r="U7" s="51"/>
      <c r="V7" s="51"/>
      <c r="W7" s="51"/>
      <c r="X7" s="51"/>
      <c r="Y7" s="51"/>
      <c r="Z7" s="51"/>
      <c r="AA7" s="51"/>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c r="CY7" s="50"/>
      <c r="CZ7" s="50"/>
      <c r="DA7" s="50"/>
      <c r="DB7" s="50"/>
      <c r="DC7" s="50"/>
      <c r="DD7" s="50"/>
      <c r="DE7" s="50"/>
      <c r="DF7" s="50"/>
      <c r="DG7" s="50"/>
      <c r="DH7" s="50"/>
      <c r="DI7" s="50"/>
      <c r="DJ7" s="50"/>
      <c r="DK7" s="50"/>
      <c r="DL7" s="50"/>
      <c r="DM7" s="50"/>
      <c r="DN7" s="50"/>
      <c r="DO7" s="50"/>
      <c r="DP7" s="50"/>
      <c r="DQ7" s="50"/>
      <c r="DR7" s="50"/>
      <c r="DS7" s="50"/>
      <c r="DT7" s="50"/>
      <c r="DU7" s="50"/>
      <c r="DV7" s="50"/>
      <c r="DW7" s="50"/>
      <c r="DX7" s="50"/>
      <c r="DY7" s="50"/>
      <c r="DZ7" s="50"/>
      <c r="EA7" s="50"/>
      <c r="EB7" s="50"/>
      <c r="EC7" s="50"/>
      <c r="ED7" s="50"/>
      <c r="EE7" s="50"/>
      <c r="EF7" s="50"/>
      <c r="EG7" s="50"/>
      <c r="EH7" s="50"/>
      <c r="EI7" s="50"/>
      <c r="EJ7" s="50"/>
      <c r="EK7" s="50"/>
      <c r="EL7" s="50"/>
      <c r="EM7" s="50"/>
      <c r="EN7" s="50"/>
      <c r="EO7" s="50"/>
      <c r="EP7" s="50"/>
      <c r="EQ7" s="50"/>
      <c r="ER7" s="50"/>
      <c r="ES7" s="50"/>
      <c r="ET7" s="50"/>
      <c r="EU7" s="50"/>
      <c r="EV7" s="50"/>
      <c r="EW7" s="50"/>
      <c r="EX7" s="50"/>
      <c r="EY7" s="50"/>
      <c r="EZ7" s="50"/>
      <c r="FA7" s="50"/>
      <c r="FB7" s="50"/>
      <c r="FC7" s="50"/>
      <c r="FD7" s="50"/>
      <c r="FE7" s="50"/>
    </row>
    <row r="8" spans="1:161">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row>
    <row r="9" spans="1:161">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c r="CO9" s="50"/>
      <c r="CP9" s="50"/>
      <c r="CQ9" s="50"/>
      <c r="CR9" s="50"/>
      <c r="CS9" s="50"/>
      <c r="CT9" s="50"/>
      <c r="CU9" s="50"/>
      <c r="CV9" s="50"/>
      <c r="CW9" s="50"/>
      <c r="CX9" s="50"/>
      <c r="CY9" s="50"/>
      <c r="CZ9" s="50"/>
      <c r="DA9" s="50"/>
      <c r="DB9" s="50"/>
      <c r="DC9" s="50"/>
      <c r="DD9" s="50"/>
      <c r="DE9" s="50"/>
      <c r="DF9" s="50"/>
      <c r="DG9" s="50"/>
      <c r="DH9" s="50"/>
      <c r="DI9" s="50"/>
      <c r="DJ9" s="50"/>
      <c r="DK9" s="50"/>
      <c r="DL9" s="50"/>
      <c r="DM9" s="50"/>
      <c r="DN9" s="50"/>
      <c r="DO9" s="50"/>
      <c r="DP9" s="50"/>
      <c r="DQ9" s="50"/>
      <c r="DR9" s="50"/>
      <c r="DS9" s="50"/>
      <c r="DT9" s="50"/>
      <c r="DU9" s="50"/>
      <c r="DV9" s="50"/>
      <c r="DW9" s="50"/>
      <c r="DX9" s="50"/>
      <c r="DY9" s="50"/>
      <c r="DZ9" s="50"/>
      <c r="EA9" s="50"/>
      <c r="EB9" s="50"/>
      <c r="EC9" s="50"/>
      <c r="ED9" s="50"/>
      <c r="EE9" s="50"/>
      <c r="EF9" s="50"/>
      <c r="EG9" s="50"/>
      <c r="EH9" s="50"/>
      <c r="EI9" s="50"/>
      <c r="EJ9" s="50"/>
      <c r="EK9" s="50"/>
      <c r="EL9" s="50"/>
      <c r="EM9" s="50"/>
      <c r="EN9" s="50"/>
      <c r="EO9" s="50"/>
      <c r="EP9" s="50"/>
      <c r="EQ9" s="50"/>
      <c r="ER9" s="50"/>
      <c r="ES9" s="50"/>
      <c r="ET9" s="50"/>
      <c r="EU9" s="50"/>
      <c r="EV9" s="50"/>
      <c r="EW9" s="50"/>
      <c r="EX9" s="50"/>
      <c r="EY9" s="50"/>
      <c r="EZ9" s="50"/>
      <c r="FA9" s="50"/>
      <c r="FB9" s="50"/>
      <c r="FC9" s="50"/>
      <c r="FD9" s="50"/>
      <c r="FE9" s="50"/>
    </row>
    <row r="10" spans="1:161">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row>
    <row r="11" spans="1:16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c r="DJ11" s="50"/>
      <c r="DK11" s="50"/>
      <c r="DL11" s="50"/>
      <c r="DM11" s="50"/>
      <c r="DN11" s="50"/>
      <c r="DO11" s="50"/>
      <c r="DP11" s="50"/>
      <c r="DQ11" s="50"/>
      <c r="DR11" s="50"/>
      <c r="DS11" s="50"/>
      <c r="DT11" s="50"/>
      <c r="DU11" s="50"/>
      <c r="DV11" s="50"/>
      <c r="DW11" s="50"/>
      <c r="DX11" s="50"/>
      <c r="DY11" s="50"/>
      <c r="DZ11" s="50"/>
      <c r="EA11" s="50"/>
      <c r="EB11" s="50"/>
      <c r="EC11" s="50"/>
      <c r="ED11" s="50"/>
      <c r="EE11" s="50"/>
      <c r="EF11" s="50"/>
      <c r="EG11" s="50"/>
      <c r="EH11" s="50"/>
      <c r="EI11" s="50"/>
      <c r="EJ11" s="50"/>
      <c r="EK11" s="50"/>
      <c r="EL11" s="50"/>
      <c r="EM11" s="50"/>
      <c r="EN11" s="50"/>
      <c r="EO11" s="50"/>
      <c r="EP11" s="50"/>
      <c r="EQ11" s="50"/>
      <c r="ER11" s="50"/>
      <c r="ES11" s="50"/>
      <c r="ET11" s="50"/>
      <c r="EU11" s="50"/>
      <c r="EV11" s="50"/>
      <c r="EW11" s="50"/>
      <c r="EX11" s="50"/>
      <c r="EY11" s="50"/>
      <c r="EZ11" s="50"/>
      <c r="FA11" s="50"/>
      <c r="FB11" s="50"/>
      <c r="FC11" s="50"/>
      <c r="FD11" s="50"/>
      <c r="FE11" s="50"/>
    </row>
    <row r="12" spans="1:161">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c r="CO12" s="50"/>
      <c r="CP12" s="50"/>
      <c r="CQ12" s="50"/>
      <c r="CR12" s="50"/>
      <c r="CS12" s="50"/>
      <c r="CT12" s="50"/>
      <c r="CU12" s="50"/>
      <c r="CV12" s="50"/>
      <c r="CW12" s="50"/>
      <c r="CX12" s="50"/>
      <c r="CY12" s="50"/>
      <c r="CZ12" s="50"/>
      <c r="DA12" s="50"/>
      <c r="DB12" s="50"/>
      <c r="DC12" s="50"/>
      <c r="DD12" s="50"/>
      <c r="DE12" s="50"/>
      <c r="DF12" s="50"/>
      <c r="DG12" s="50"/>
      <c r="DH12" s="50"/>
      <c r="DI12" s="50"/>
      <c r="DJ12" s="50"/>
      <c r="DK12" s="50"/>
      <c r="DL12" s="50"/>
      <c r="DM12" s="50"/>
      <c r="DN12" s="50"/>
      <c r="DO12" s="50"/>
      <c r="DP12" s="50"/>
      <c r="DQ12" s="50"/>
      <c r="DR12" s="50"/>
      <c r="DS12" s="50"/>
      <c r="DT12" s="50"/>
      <c r="DU12" s="50"/>
      <c r="DV12" s="50"/>
      <c r="DW12" s="50"/>
      <c r="DX12" s="50"/>
      <c r="DY12" s="50"/>
      <c r="DZ12" s="50"/>
      <c r="EA12" s="50"/>
      <c r="EB12" s="50"/>
      <c r="EC12" s="50"/>
      <c r="ED12" s="50"/>
      <c r="EE12" s="50"/>
      <c r="EF12" s="50"/>
      <c r="EG12" s="50"/>
      <c r="EH12" s="50"/>
      <c r="EI12" s="50"/>
      <c r="EJ12" s="50"/>
      <c r="EK12" s="50"/>
      <c r="EL12" s="50"/>
      <c r="EM12" s="50"/>
      <c r="EN12" s="50"/>
      <c r="EO12" s="50"/>
      <c r="EP12" s="50"/>
      <c r="EQ12" s="50"/>
      <c r="ER12" s="50"/>
      <c r="ES12" s="50"/>
      <c r="ET12" s="50"/>
      <c r="EU12" s="50"/>
      <c r="EV12" s="50"/>
      <c r="EW12" s="50"/>
      <c r="EX12" s="50"/>
      <c r="EY12" s="50"/>
      <c r="EZ12" s="50"/>
      <c r="FA12" s="50"/>
      <c r="FB12" s="50"/>
      <c r="FC12" s="50"/>
      <c r="FD12" s="50"/>
      <c r="FE12" s="50"/>
    </row>
    <row r="13" spans="1:161">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row>
    <row r="14" spans="1:161">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50"/>
      <c r="DJ14" s="50"/>
      <c r="DK14" s="50"/>
      <c r="DL14" s="50"/>
      <c r="DM14" s="50"/>
      <c r="DN14" s="50"/>
      <c r="DO14" s="50"/>
      <c r="DP14" s="50"/>
      <c r="DQ14" s="50"/>
      <c r="DR14" s="50"/>
      <c r="DS14" s="50"/>
      <c r="DT14" s="50"/>
      <c r="DU14" s="50"/>
      <c r="DV14" s="50"/>
      <c r="DW14" s="50"/>
      <c r="DX14" s="50"/>
      <c r="DY14" s="50"/>
      <c r="DZ14" s="50"/>
      <c r="EA14" s="50"/>
      <c r="EB14" s="50"/>
      <c r="EC14" s="50"/>
      <c r="ED14" s="50"/>
      <c r="EE14" s="50"/>
      <c r="EF14" s="50"/>
      <c r="EG14" s="50"/>
      <c r="EH14" s="50"/>
      <c r="EI14" s="50"/>
      <c r="EJ14" s="50"/>
      <c r="EK14" s="50"/>
      <c r="EL14" s="50"/>
      <c r="EM14" s="50"/>
      <c r="EN14" s="50"/>
      <c r="EO14" s="50"/>
      <c r="EP14" s="50"/>
      <c r="EQ14" s="50"/>
      <c r="ER14" s="50"/>
      <c r="ES14" s="50"/>
      <c r="ET14" s="50"/>
      <c r="EU14" s="50"/>
      <c r="EV14" s="50"/>
      <c r="EW14" s="50"/>
      <c r="EX14" s="50"/>
      <c r="EY14" s="50"/>
      <c r="EZ14" s="50"/>
      <c r="FA14" s="50"/>
      <c r="FB14" s="50"/>
      <c r="FC14" s="50"/>
      <c r="FD14" s="50"/>
      <c r="FE14" s="50"/>
    </row>
    <row r="15" spans="1:161">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row>
    <row r="16" spans="1:161">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c r="CY16" s="50"/>
      <c r="CZ16" s="50"/>
      <c r="DA16" s="50"/>
      <c r="DB16" s="50"/>
      <c r="DC16" s="50"/>
      <c r="DD16" s="50"/>
      <c r="DE16" s="50"/>
      <c r="DF16" s="50"/>
      <c r="DG16" s="50"/>
      <c r="DH16" s="50"/>
      <c r="DI16" s="50"/>
      <c r="DJ16" s="50"/>
      <c r="DK16" s="50"/>
      <c r="DL16" s="50"/>
      <c r="DM16" s="50"/>
      <c r="DN16" s="50"/>
      <c r="DO16" s="50"/>
      <c r="DP16" s="50"/>
      <c r="DQ16" s="50"/>
      <c r="DR16" s="50"/>
      <c r="DS16" s="50"/>
      <c r="DT16" s="50"/>
      <c r="DU16" s="50"/>
      <c r="DV16" s="50"/>
      <c r="DW16" s="50"/>
      <c r="DX16" s="50"/>
      <c r="DY16" s="50"/>
      <c r="DZ16" s="50"/>
      <c r="EA16" s="50"/>
      <c r="EB16" s="50"/>
      <c r="EC16" s="50"/>
      <c r="ED16" s="50"/>
      <c r="EE16" s="50"/>
      <c r="EF16" s="50"/>
      <c r="EG16" s="50"/>
      <c r="EH16" s="50"/>
      <c r="EI16" s="50"/>
      <c r="EJ16" s="50"/>
      <c r="EK16" s="50"/>
      <c r="EL16" s="50"/>
      <c r="EM16" s="50"/>
      <c r="EN16" s="50"/>
      <c r="EO16" s="50"/>
      <c r="EP16" s="50"/>
      <c r="EQ16" s="50"/>
      <c r="ER16" s="50"/>
      <c r="ES16" s="50"/>
      <c r="ET16" s="50"/>
      <c r="EU16" s="50"/>
      <c r="EV16" s="50"/>
      <c r="EW16" s="50"/>
      <c r="EX16" s="50"/>
      <c r="EY16" s="50"/>
      <c r="EZ16" s="50"/>
      <c r="FA16" s="50"/>
      <c r="FB16" s="50"/>
      <c r="FC16" s="50"/>
      <c r="FD16" s="50"/>
      <c r="FE16" s="50"/>
    </row>
    <row r="17" spans="1:161">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row>
    <row r="18" spans="1:161">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c r="DB18" s="50"/>
      <c r="DC18" s="50"/>
      <c r="DD18" s="50"/>
      <c r="DE18" s="50"/>
      <c r="DF18" s="50"/>
      <c r="DG18" s="50"/>
      <c r="DH18" s="50"/>
      <c r="DI18" s="50"/>
      <c r="DJ18" s="50"/>
      <c r="DK18" s="50"/>
      <c r="DL18" s="50"/>
      <c r="DM18" s="50"/>
      <c r="DN18" s="50"/>
      <c r="DO18" s="50"/>
      <c r="DP18" s="50"/>
      <c r="DQ18" s="50"/>
      <c r="DR18" s="50"/>
      <c r="DS18" s="50"/>
      <c r="DT18" s="50"/>
      <c r="DU18" s="50"/>
      <c r="DV18" s="50"/>
      <c r="DW18" s="50"/>
      <c r="DX18" s="50"/>
      <c r="DY18" s="50"/>
      <c r="DZ18" s="50"/>
      <c r="EA18" s="50"/>
      <c r="EB18" s="50"/>
      <c r="EC18" s="50"/>
      <c r="ED18" s="50"/>
      <c r="EE18" s="50"/>
      <c r="EF18" s="50"/>
      <c r="EG18" s="50"/>
      <c r="EH18" s="50"/>
      <c r="EI18" s="50"/>
      <c r="EJ18" s="50"/>
      <c r="EK18" s="50"/>
      <c r="EL18" s="50"/>
      <c r="EM18" s="50"/>
      <c r="EN18" s="50"/>
      <c r="EO18" s="50"/>
      <c r="EP18" s="50"/>
      <c r="EQ18" s="50"/>
      <c r="ER18" s="50"/>
      <c r="ES18" s="50"/>
      <c r="ET18" s="50"/>
      <c r="EU18" s="50"/>
      <c r="EV18" s="50"/>
      <c r="EW18" s="50"/>
      <c r="EX18" s="50"/>
      <c r="EY18" s="50"/>
      <c r="EZ18" s="50"/>
      <c r="FA18" s="50"/>
      <c r="FB18" s="50"/>
      <c r="FC18" s="50"/>
      <c r="FD18" s="50"/>
      <c r="FE18" s="50"/>
    </row>
    <row r="19" spans="1:161">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50"/>
      <c r="EJ19" s="50"/>
      <c r="EK19" s="50"/>
      <c r="EL19" s="50"/>
      <c r="EM19" s="50"/>
      <c r="EN19" s="50"/>
      <c r="EO19" s="50"/>
      <c r="EP19" s="50"/>
      <c r="EQ19" s="50"/>
      <c r="ER19" s="50"/>
      <c r="ES19" s="50"/>
      <c r="ET19" s="50"/>
      <c r="EU19" s="50"/>
      <c r="EV19" s="50"/>
      <c r="EW19" s="50"/>
      <c r="EX19" s="50"/>
      <c r="EY19" s="50"/>
      <c r="EZ19" s="50"/>
      <c r="FA19" s="50"/>
      <c r="FB19" s="50"/>
      <c r="FC19" s="50"/>
      <c r="FD19" s="50"/>
      <c r="FE19" s="50"/>
    </row>
    <row r="20" spans="1:161">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c r="EZ20" s="50"/>
      <c r="FA20" s="50"/>
      <c r="FB20" s="50"/>
      <c r="FC20" s="50"/>
      <c r="FD20" s="50"/>
      <c r="FE20" s="50"/>
    </row>
    <row r="21" spans="1:16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c r="DX21" s="50"/>
      <c r="DY21" s="50"/>
      <c r="DZ21" s="50"/>
      <c r="EA21" s="50"/>
      <c r="EB21" s="50"/>
      <c r="EC21" s="50"/>
      <c r="ED21" s="50"/>
      <c r="EE21" s="50"/>
      <c r="EF21" s="50"/>
      <c r="EG21" s="50"/>
      <c r="EH21" s="50"/>
      <c r="EI21" s="50"/>
      <c r="EJ21" s="50"/>
      <c r="EK21" s="50"/>
      <c r="EL21" s="50"/>
      <c r="EM21" s="50"/>
      <c r="EN21" s="50"/>
      <c r="EO21" s="50"/>
      <c r="EP21" s="50"/>
      <c r="EQ21" s="50"/>
      <c r="ER21" s="50"/>
      <c r="ES21" s="50"/>
      <c r="ET21" s="50"/>
      <c r="EU21" s="50"/>
      <c r="EV21" s="50"/>
      <c r="EW21" s="50"/>
      <c r="EX21" s="50"/>
      <c r="EY21" s="50"/>
      <c r="EZ21" s="50"/>
      <c r="FA21" s="50"/>
      <c r="FB21" s="50"/>
      <c r="FC21" s="50"/>
      <c r="FD21" s="50"/>
      <c r="FE21" s="50"/>
    </row>
    <row r="22" spans="1:161">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c r="DB22" s="50"/>
      <c r="DC22" s="50"/>
      <c r="DD22" s="50"/>
      <c r="DE22" s="50"/>
      <c r="DF22" s="50"/>
      <c r="DG22" s="50"/>
      <c r="DH22" s="50"/>
      <c r="DI22" s="50"/>
      <c r="DJ22" s="50"/>
      <c r="DK22" s="50"/>
      <c r="DL22" s="50"/>
      <c r="DM22" s="50"/>
      <c r="DN22" s="50"/>
      <c r="DO22" s="50"/>
      <c r="DP22" s="50"/>
      <c r="DQ22" s="50"/>
      <c r="DR22" s="50"/>
      <c r="DS22" s="50"/>
      <c r="DT22" s="50"/>
      <c r="DU22" s="50"/>
      <c r="DV22" s="50"/>
      <c r="DW22" s="50"/>
      <c r="DX22" s="50"/>
      <c r="DY22" s="50"/>
      <c r="DZ22" s="50"/>
      <c r="EA22" s="50"/>
      <c r="EB22" s="50"/>
      <c r="EC22" s="50"/>
      <c r="ED22" s="50"/>
      <c r="EE22" s="50"/>
      <c r="EF22" s="50"/>
      <c r="EG22" s="50"/>
      <c r="EH22" s="50"/>
      <c r="EI22" s="50"/>
      <c r="EJ22" s="50"/>
      <c r="EK22" s="50"/>
      <c r="EL22" s="50"/>
      <c r="EM22" s="50"/>
      <c r="EN22" s="50"/>
      <c r="EO22" s="50"/>
      <c r="EP22" s="50"/>
      <c r="EQ22" s="50"/>
      <c r="ER22" s="50"/>
      <c r="ES22" s="50"/>
      <c r="ET22" s="50"/>
      <c r="EU22" s="50"/>
      <c r="EV22" s="50"/>
      <c r="EW22" s="50"/>
      <c r="EX22" s="50"/>
      <c r="EY22" s="50"/>
      <c r="EZ22" s="50"/>
      <c r="FA22" s="50"/>
      <c r="FB22" s="50"/>
      <c r="FC22" s="50"/>
      <c r="FD22" s="50"/>
      <c r="FE22" s="50"/>
    </row>
    <row r="23" spans="1:161">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A23" s="50"/>
      <c r="EB23" s="50"/>
      <c r="EC23" s="50"/>
      <c r="ED23" s="50"/>
      <c r="EE23" s="50"/>
      <c r="EF23" s="50"/>
      <c r="EG23" s="50"/>
      <c r="EH23" s="50"/>
      <c r="EI23" s="50"/>
      <c r="EJ23" s="50"/>
      <c r="EK23" s="50"/>
      <c r="EL23" s="50"/>
      <c r="EM23" s="50"/>
      <c r="EN23" s="50"/>
      <c r="EO23" s="50"/>
      <c r="EP23" s="50"/>
      <c r="EQ23" s="50"/>
      <c r="ER23" s="50"/>
      <c r="ES23" s="50"/>
      <c r="ET23" s="50"/>
      <c r="EU23" s="50"/>
      <c r="EV23" s="50"/>
      <c r="EW23" s="50"/>
      <c r="EX23" s="50"/>
      <c r="EY23" s="50"/>
      <c r="EZ23" s="50"/>
      <c r="FA23" s="50"/>
      <c r="FB23" s="50"/>
      <c r="FC23" s="50"/>
      <c r="FD23" s="50"/>
      <c r="FE23" s="50"/>
    </row>
    <row r="24" spans="1:161">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50"/>
      <c r="EJ24" s="50"/>
      <c r="EK24" s="50"/>
      <c r="EL24" s="50"/>
      <c r="EM24" s="50"/>
      <c r="EN24" s="50"/>
      <c r="EO24" s="50"/>
      <c r="EP24" s="50"/>
      <c r="EQ24" s="50"/>
      <c r="ER24" s="50"/>
      <c r="ES24" s="50"/>
      <c r="ET24" s="50"/>
      <c r="EU24" s="50"/>
      <c r="EV24" s="50"/>
      <c r="EW24" s="50"/>
      <c r="EX24" s="50"/>
      <c r="EY24" s="50"/>
      <c r="EZ24" s="50"/>
      <c r="FA24" s="50"/>
      <c r="FB24" s="50"/>
      <c r="FC24" s="50"/>
      <c r="FD24" s="50"/>
      <c r="FE24" s="50"/>
    </row>
    <row r="25" spans="1:161">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c r="ES25" s="50"/>
      <c r="ET25" s="50"/>
      <c r="EU25" s="50"/>
      <c r="EV25" s="50"/>
      <c r="EW25" s="50"/>
      <c r="EX25" s="50"/>
      <c r="EY25" s="50"/>
      <c r="EZ25" s="50"/>
      <c r="FA25" s="50"/>
      <c r="FB25" s="50"/>
      <c r="FC25" s="50"/>
      <c r="FD25" s="50"/>
      <c r="FE25" s="50"/>
    </row>
    <row r="26" spans="1:161">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A26" s="50"/>
      <c r="EB26" s="50"/>
      <c r="EC26" s="50"/>
      <c r="ED26" s="50"/>
      <c r="EE26" s="50"/>
      <c r="EF26" s="50"/>
      <c r="EG26" s="50"/>
      <c r="EH26" s="50"/>
      <c r="EI26" s="50"/>
      <c r="EJ26" s="50"/>
      <c r="EK26" s="50"/>
      <c r="EL26" s="50"/>
      <c r="EM26" s="50"/>
      <c r="EN26" s="50"/>
      <c r="EO26" s="50"/>
      <c r="EP26" s="50"/>
      <c r="EQ26" s="50"/>
      <c r="ER26" s="50"/>
      <c r="ES26" s="50"/>
      <c r="ET26" s="50"/>
      <c r="EU26" s="50"/>
      <c r="EV26" s="50"/>
      <c r="EW26" s="50"/>
      <c r="EX26" s="50"/>
      <c r="EY26" s="50"/>
      <c r="EZ26" s="50"/>
      <c r="FA26" s="50"/>
      <c r="FB26" s="50"/>
      <c r="FC26" s="50"/>
      <c r="FD26" s="50"/>
      <c r="FE26" s="50"/>
    </row>
    <row r="27" spans="1:161">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0"/>
      <c r="EX27" s="50"/>
      <c r="EY27" s="50"/>
      <c r="EZ27" s="50"/>
      <c r="FA27" s="50"/>
      <c r="FB27" s="50"/>
      <c r="FC27" s="50"/>
      <c r="FD27" s="50"/>
      <c r="FE27" s="50"/>
    </row>
    <row r="28" spans="1:16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c r="DB28" s="50"/>
      <c r="DC28" s="50"/>
      <c r="DD28" s="50"/>
      <c r="DE28" s="50"/>
      <c r="DF28" s="50"/>
      <c r="DG28" s="50"/>
      <c r="DH28" s="50"/>
      <c r="DI28" s="50"/>
      <c r="DJ28" s="50"/>
      <c r="DK28" s="50"/>
      <c r="DL28" s="50"/>
      <c r="DM28" s="50"/>
      <c r="DN28" s="50"/>
      <c r="DO28" s="50"/>
      <c r="DP28" s="50"/>
      <c r="DQ28" s="50"/>
      <c r="DR28" s="50"/>
      <c r="DS28" s="50"/>
      <c r="DT28" s="50"/>
      <c r="DU28" s="50"/>
      <c r="DV28" s="50"/>
      <c r="DW28" s="50"/>
      <c r="DX28" s="50"/>
      <c r="DY28" s="50"/>
      <c r="DZ28" s="50"/>
      <c r="EA28" s="50"/>
      <c r="EB28" s="50"/>
      <c r="EC28" s="50"/>
      <c r="ED28" s="50"/>
      <c r="EE28" s="50"/>
      <c r="EF28" s="50"/>
      <c r="EG28" s="50"/>
      <c r="EH28" s="50"/>
      <c r="EI28" s="50"/>
      <c r="EJ28" s="50"/>
      <c r="EK28" s="50"/>
      <c r="EL28" s="50"/>
      <c r="EM28" s="50"/>
      <c r="EN28" s="50"/>
      <c r="EO28" s="50"/>
      <c r="EP28" s="50"/>
      <c r="EQ28" s="50"/>
      <c r="ER28" s="50"/>
      <c r="ES28" s="50"/>
      <c r="ET28" s="50"/>
      <c r="EU28" s="50"/>
      <c r="EV28" s="50"/>
      <c r="EW28" s="50"/>
      <c r="EX28" s="50"/>
      <c r="EY28" s="50"/>
      <c r="EZ28" s="50"/>
      <c r="FA28" s="50"/>
      <c r="FB28" s="50"/>
      <c r="FC28" s="50"/>
      <c r="FD28" s="50"/>
      <c r="FE28" s="50"/>
    </row>
    <row r="29" spans="1:16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c r="DJ29" s="50"/>
      <c r="DK29" s="50"/>
      <c r="DL29" s="50"/>
      <c r="DM29" s="50"/>
      <c r="DN29" s="50"/>
      <c r="DO29" s="50"/>
      <c r="DP29" s="50"/>
      <c r="DQ29" s="50"/>
      <c r="DR29" s="50"/>
      <c r="DS29" s="50"/>
      <c r="DT29" s="50"/>
      <c r="DU29" s="50"/>
      <c r="DV29" s="50"/>
      <c r="DW29" s="50"/>
      <c r="DX29" s="50"/>
      <c r="DY29" s="50"/>
      <c r="DZ29" s="50"/>
      <c r="EA29" s="50"/>
      <c r="EB29" s="50"/>
      <c r="EC29" s="50"/>
      <c r="ED29" s="50"/>
      <c r="EE29" s="50"/>
      <c r="EF29" s="50"/>
      <c r="EG29" s="50"/>
      <c r="EH29" s="50"/>
      <c r="EI29" s="50"/>
      <c r="EJ29" s="50"/>
      <c r="EK29" s="50"/>
      <c r="EL29" s="50"/>
      <c r="EM29" s="50"/>
      <c r="EN29" s="50"/>
      <c r="EO29" s="50"/>
      <c r="EP29" s="50"/>
      <c r="EQ29" s="50"/>
      <c r="ER29" s="50"/>
      <c r="ES29" s="50"/>
      <c r="ET29" s="50"/>
      <c r="EU29" s="50"/>
      <c r="EV29" s="50"/>
      <c r="EW29" s="50"/>
      <c r="EX29" s="50"/>
      <c r="EY29" s="50"/>
      <c r="EZ29" s="50"/>
      <c r="FA29" s="50"/>
      <c r="FB29" s="50"/>
      <c r="FC29" s="50"/>
      <c r="FD29" s="50"/>
      <c r="FE29" s="50"/>
    </row>
    <row r="30" spans="1:16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50"/>
      <c r="DJ30" s="50"/>
      <c r="DK30" s="50"/>
      <c r="DL30" s="50"/>
      <c r="DM30" s="50"/>
      <c r="DN30" s="50"/>
      <c r="DO30" s="50"/>
      <c r="DP30" s="50"/>
      <c r="DQ30" s="50"/>
      <c r="DR30" s="50"/>
      <c r="DS30" s="50"/>
      <c r="DT30" s="50"/>
      <c r="DU30" s="50"/>
      <c r="DV30" s="50"/>
      <c r="DW30" s="50"/>
      <c r="DX30" s="50"/>
      <c r="DY30" s="50"/>
      <c r="DZ30" s="50"/>
      <c r="EA30" s="50"/>
      <c r="EB30" s="50"/>
      <c r="EC30" s="50"/>
      <c r="ED30" s="50"/>
      <c r="EE30" s="50"/>
      <c r="EF30" s="50"/>
      <c r="EG30" s="50"/>
      <c r="EH30" s="50"/>
      <c r="EI30" s="50"/>
      <c r="EJ30" s="50"/>
      <c r="EK30" s="50"/>
      <c r="EL30" s="50"/>
      <c r="EM30" s="50"/>
      <c r="EN30" s="50"/>
      <c r="EO30" s="50"/>
      <c r="EP30" s="50"/>
      <c r="EQ30" s="50"/>
      <c r="ER30" s="50"/>
      <c r="ES30" s="50"/>
      <c r="ET30" s="50"/>
      <c r="EU30" s="50"/>
      <c r="EV30" s="50"/>
      <c r="EW30" s="50"/>
      <c r="EX30" s="50"/>
      <c r="EY30" s="50"/>
      <c r="EZ30" s="50"/>
      <c r="FA30" s="50"/>
      <c r="FB30" s="50"/>
      <c r="FC30" s="50"/>
      <c r="FD30" s="50"/>
      <c r="FE30" s="50"/>
    </row>
    <row r="31" spans="1:16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S31" s="50"/>
      <c r="ET31" s="50"/>
      <c r="EU31" s="50"/>
      <c r="EV31" s="50"/>
      <c r="EW31" s="50"/>
      <c r="EX31" s="50"/>
      <c r="EY31" s="50"/>
      <c r="EZ31" s="50"/>
      <c r="FA31" s="50"/>
      <c r="FB31" s="50"/>
      <c r="FC31" s="50"/>
      <c r="FD31" s="50"/>
      <c r="FE31" s="50"/>
    </row>
    <row r="32" spans="1:16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c r="DX32" s="50"/>
      <c r="DY32" s="50"/>
      <c r="DZ32" s="50"/>
      <c r="EA32" s="50"/>
      <c r="EB32" s="50"/>
      <c r="EC32" s="50"/>
      <c r="ED32" s="50"/>
      <c r="EE32" s="50"/>
      <c r="EF32" s="50"/>
      <c r="EG32" s="50"/>
      <c r="EH32" s="50"/>
      <c r="EI32" s="50"/>
      <c r="EJ32" s="50"/>
      <c r="EK32" s="50"/>
      <c r="EL32" s="50"/>
      <c r="EM32" s="50"/>
      <c r="EN32" s="50"/>
      <c r="EO32" s="50"/>
      <c r="EP32" s="50"/>
      <c r="EQ32" s="50"/>
      <c r="ER32" s="50"/>
      <c r="ES32" s="50"/>
      <c r="ET32" s="50"/>
      <c r="EU32" s="50"/>
      <c r="EV32" s="50"/>
      <c r="EW32" s="50"/>
      <c r="EX32" s="50"/>
      <c r="EY32" s="50"/>
      <c r="EZ32" s="50"/>
      <c r="FA32" s="50"/>
      <c r="FB32" s="50"/>
      <c r="FC32" s="50"/>
      <c r="FD32" s="50"/>
      <c r="FE32" s="50"/>
    </row>
    <row r="33" spans="1:16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c r="CS33" s="50"/>
      <c r="CT33" s="50"/>
      <c r="CU33" s="50"/>
      <c r="CV33" s="50"/>
      <c r="CW33" s="50"/>
      <c r="CX33" s="50"/>
      <c r="CY33" s="50"/>
      <c r="CZ33" s="50"/>
      <c r="DA33" s="50"/>
      <c r="DB33" s="50"/>
      <c r="DC33" s="50"/>
      <c r="DD33" s="50"/>
      <c r="DE33" s="50"/>
      <c r="DF33" s="50"/>
      <c r="DG33" s="50"/>
      <c r="DH33" s="50"/>
      <c r="DI33" s="50"/>
      <c r="DJ33" s="50"/>
      <c r="DK33" s="50"/>
      <c r="DL33" s="50"/>
      <c r="DM33" s="50"/>
      <c r="DN33" s="50"/>
      <c r="DO33" s="50"/>
      <c r="DP33" s="50"/>
      <c r="DQ33" s="50"/>
      <c r="DR33" s="50"/>
      <c r="DS33" s="50"/>
      <c r="DT33" s="50"/>
      <c r="DU33" s="50"/>
      <c r="DV33" s="50"/>
      <c r="DW33" s="50"/>
      <c r="DX33" s="50"/>
      <c r="DY33" s="50"/>
      <c r="DZ33" s="50"/>
      <c r="EA33" s="50"/>
      <c r="EB33" s="50"/>
      <c r="EC33" s="50"/>
      <c r="ED33" s="50"/>
      <c r="EE33" s="50"/>
      <c r="EF33" s="50"/>
      <c r="EG33" s="50"/>
      <c r="EH33" s="50"/>
      <c r="EI33" s="50"/>
      <c r="EJ33" s="50"/>
      <c r="EK33" s="50"/>
      <c r="EL33" s="50"/>
      <c r="EM33" s="50"/>
      <c r="EN33" s="50"/>
      <c r="EO33" s="50"/>
      <c r="EP33" s="50"/>
      <c r="EQ33" s="50"/>
      <c r="ER33" s="50"/>
      <c r="ES33" s="50"/>
      <c r="ET33" s="50"/>
      <c r="EU33" s="50"/>
      <c r="EV33" s="50"/>
      <c r="EW33" s="50"/>
      <c r="EX33" s="50"/>
      <c r="EY33" s="50"/>
      <c r="EZ33" s="50"/>
      <c r="FA33" s="50"/>
      <c r="FB33" s="50"/>
      <c r="FC33" s="50"/>
      <c r="FD33" s="50"/>
      <c r="FE33" s="50"/>
    </row>
    <row r="34" spans="1:16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c r="CX34" s="50"/>
      <c r="CY34" s="50"/>
      <c r="CZ34" s="50"/>
      <c r="DA34" s="50"/>
      <c r="DB34" s="50"/>
      <c r="DC34" s="50"/>
      <c r="DD34" s="50"/>
      <c r="DE34" s="50"/>
      <c r="DF34" s="50"/>
      <c r="DG34" s="50"/>
      <c r="DH34" s="50"/>
      <c r="DI34" s="50"/>
      <c r="DJ34" s="50"/>
      <c r="DK34" s="50"/>
      <c r="DL34" s="50"/>
      <c r="DM34" s="50"/>
      <c r="DN34" s="50"/>
      <c r="DO34" s="50"/>
      <c r="DP34" s="50"/>
      <c r="DQ34" s="50"/>
      <c r="DR34" s="50"/>
      <c r="DS34" s="50"/>
      <c r="DT34" s="50"/>
      <c r="DU34" s="50"/>
      <c r="DV34" s="50"/>
      <c r="DW34" s="50"/>
      <c r="DX34" s="50"/>
      <c r="DY34" s="50"/>
      <c r="DZ34" s="50"/>
      <c r="EA34" s="50"/>
      <c r="EB34" s="50"/>
      <c r="EC34" s="50"/>
      <c r="ED34" s="50"/>
      <c r="EE34" s="50"/>
      <c r="EF34" s="50"/>
      <c r="EG34" s="50"/>
      <c r="EH34" s="50"/>
      <c r="EI34" s="50"/>
      <c r="EJ34" s="50"/>
      <c r="EK34" s="50"/>
      <c r="EL34" s="50"/>
      <c r="EM34" s="50"/>
      <c r="EN34" s="50"/>
      <c r="EO34" s="50"/>
      <c r="EP34" s="50"/>
      <c r="EQ34" s="50"/>
      <c r="ER34" s="50"/>
      <c r="ES34" s="50"/>
      <c r="ET34" s="50"/>
      <c r="EU34" s="50"/>
      <c r="EV34" s="50"/>
      <c r="EW34" s="50"/>
      <c r="EX34" s="50"/>
      <c r="EY34" s="50"/>
      <c r="EZ34" s="50"/>
      <c r="FA34" s="50"/>
      <c r="FB34" s="50"/>
      <c r="FC34" s="50"/>
      <c r="FD34" s="50"/>
      <c r="FE34" s="50"/>
    </row>
    <row r="35" spans="1:16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E35" s="50"/>
      <c r="EF35" s="50"/>
      <c r="EG35" s="50"/>
      <c r="EH35" s="50"/>
      <c r="EI35" s="50"/>
      <c r="EJ35" s="50"/>
      <c r="EK35" s="50"/>
      <c r="EL35" s="50"/>
      <c r="EM35" s="50"/>
      <c r="EN35" s="50"/>
      <c r="EO35" s="50"/>
      <c r="EP35" s="50"/>
      <c r="EQ35" s="50"/>
      <c r="ER35" s="50"/>
      <c r="ES35" s="50"/>
      <c r="ET35" s="50"/>
      <c r="EU35" s="50"/>
      <c r="EV35" s="50"/>
      <c r="EW35" s="50"/>
      <c r="EX35" s="50"/>
      <c r="EY35" s="50"/>
      <c r="EZ35" s="50"/>
      <c r="FA35" s="50"/>
      <c r="FB35" s="50"/>
      <c r="FC35" s="50"/>
      <c r="FD35" s="50"/>
      <c r="FE35" s="50"/>
    </row>
    <row r="36" spans="1:16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0"/>
      <c r="EX36" s="50"/>
      <c r="EY36" s="50"/>
      <c r="EZ36" s="50"/>
      <c r="FA36" s="50"/>
      <c r="FB36" s="50"/>
      <c r="FC36" s="50"/>
      <c r="FD36" s="50"/>
      <c r="FE36" s="50"/>
    </row>
    <row r="37" spans="1:16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c r="DB37" s="50"/>
      <c r="DC37" s="50"/>
      <c r="DD37" s="50"/>
      <c r="DE37" s="50"/>
      <c r="DF37" s="50"/>
      <c r="DG37" s="50"/>
      <c r="DH37" s="50"/>
      <c r="DI37" s="50"/>
      <c r="DJ37" s="50"/>
      <c r="DK37" s="50"/>
      <c r="DL37" s="50"/>
      <c r="DM37" s="50"/>
      <c r="DN37" s="50"/>
      <c r="DO37" s="50"/>
      <c r="DP37" s="50"/>
      <c r="DQ37" s="50"/>
      <c r="DR37" s="50"/>
      <c r="DS37" s="50"/>
      <c r="DT37" s="50"/>
      <c r="DU37" s="50"/>
      <c r="DV37" s="50"/>
      <c r="DW37" s="50"/>
      <c r="DX37" s="50"/>
      <c r="DY37" s="50"/>
      <c r="DZ37" s="50"/>
      <c r="EA37" s="50"/>
      <c r="EB37" s="50"/>
      <c r="EC37" s="50"/>
      <c r="ED37" s="50"/>
      <c r="EE37" s="50"/>
      <c r="EF37" s="50"/>
      <c r="EG37" s="50"/>
      <c r="EH37" s="50"/>
      <c r="EI37" s="50"/>
      <c r="EJ37" s="50"/>
      <c r="EK37" s="50"/>
      <c r="EL37" s="50"/>
      <c r="EM37" s="50"/>
      <c r="EN37" s="50"/>
      <c r="EO37" s="50"/>
      <c r="EP37" s="50"/>
      <c r="EQ37" s="50"/>
      <c r="ER37" s="50"/>
      <c r="ES37" s="50"/>
      <c r="ET37" s="50"/>
      <c r="EU37" s="50"/>
      <c r="EV37" s="50"/>
      <c r="EW37" s="50"/>
      <c r="EX37" s="50"/>
      <c r="EY37" s="50"/>
      <c r="EZ37" s="50"/>
      <c r="FA37" s="50"/>
      <c r="FB37" s="50"/>
      <c r="FC37" s="50"/>
      <c r="FD37" s="50"/>
      <c r="FE37" s="50"/>
    </row>
    <row r="38" spans="1:16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c r="CZ38" s="50"/>
      <c r="DA38" s="50"/>
      <c r="DB38" s="50"/>
      <c r="DC38" s="50"/>
      <c r="DD38" s="50"/>
      <c r="DE38" s="50"/>
      <c r="DF38" s="50"/>
      <c r="DG38" s="50"/>
      <c r="DH38" s="50"/>
      <c r="DI38" s="50"/>
      <c r="DJ38" s="50"/>
      <c r="DK38" s="50"/>
      <c r="DL38" s="50"/>
      <c r="DM38" s="50"/>
      <c r="DN38" s="50"/>
      <c r="DO38" s="50"/>
      <c r="DP38" s="50"/>
      <c r="DQ38" s="50"/>
      <c r="DR38" s="50"/>
      <c r="DS38" s="50"/>
      <c r="DT38" s="50"/>
      <c r="DU38" s="50"/>
      <c r="DV38" s="50"/>
      <c r="DW38" s="50"/>
      <c r="DX38" s="50"/>
      <c r="DY38" s="50"/>
      <c r="DZ38" s="50"/>
      <c r="EA38" s="50"/>
      <c r="EB38" s="50"/>
      <c r="EC38" s="50"/>
      <c r="ED38" s="50"/>
      <c r="EE38" s="50"/>
      <c r="EF38" s="50"/>
      <c r="EG38" s="50"/>
      <c r="EH38" s="50"/>
      <c r="EI38" s="50"/>
      <c r="EJ38" s="50"/>
      <c r="EK38" s="50"/>
      <c r="EL38" s="50"/>
      <c r="EM38" s="50"/>
      <c r="EN38" s="50"/>
      <c r="EO38" s="50"/>
      <c r="EP38" s="50"/>
      <c r="EQ38" s="50"/>
      <c r="ER38" s="50"/>
      <c r="ES38" s="50"/>
      <c r="ET38" s="50"/>
      <c r="EU38" s="50"/>
      <c r="EV38" s="50"/>
      <c r="EW38" s="50"/>
      <c r="EX38" s="50"/>
      <c r="EY38" s="50"/>
      <c r="EZ38" s="50"/>
      <c r="FA38" s="50"/>
      <c r="FB38" s="50"/>
      <c r="FC38" s="50"/>
      <c r="FD38" s="50"/>
      <c r="FE38" s="50"/>
    </row>
    <row r="39" spans="1:16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c r="CZ39" s="50"/>
      <c r="DA39" s="50"/>
      <c r="DB39" s="50"/>
      <c r="DC39" s="50"/>
      <c r="DD39" s="50"/>
      <c r="DE39" s="50"/>
      <c r="DF39" s="50"/>
      <c r="DG39" s="50"/>
      <c r="DH39" s="50"/>
      <c r="DI39" s="50"/>
      <c r="DJ39" s="50"/>
      <c r="DK39" s="50"/>
      <c r="DL39" s="50"/>
      <c r="DM39" s="50"/>
      <c r="DN39" s="50"/>
      <c r="DO39" s="50"/>
      <c r="DP39" s="50"/>
      <c r="DQ39" s="50"/>
      <c r="DR39" s="50"/>
      <c r="DS39" s="50"/>
      <c r="DT39" s="50"/>
      <c r="DU39" s="50"/>
      <c r="DV39" s="50"/>
      <c r="DW39" s="50"/>
      <c r="DX39" s="50"/>
      <c r="DY39" s="50"/>
      <c r="DZ39" s="50"/>
      <c r="EA39" s="50"/>
      <c r="EB39" s="50"/>
      <c r="EC39" s="50"/>
      <c r="ED39" s="50"/>
      <c r="EE39" s="50"/>
      <c r="EF39" s="50"/>
      <c r="EG39" s="50"/>
      <c r="EH39" s="50"/>
      <c r="EI39" s="50"/>
      <c r="EJ39" s="50"/>
      <c r="EK39" s="50"/>
      <c r="EL39" s="50"/>
      <c r="EM39" s="50"/>
      <c r="EN39" s="50"/>
      <c r="EO39" s="50"/>
      <c r="EP39" s="50"/>
      <c r="EQ39" s="50"/>
      <c r="ER39" s="50"/>
      <c r="ES39" s="50"/>
      <c r="ET39" s="50"/>
      <c r="EU39" s="50"/>
      <c r="EV39" s="50"/>
      <c r="EW39" s="50"/>
      <c r="EX39" s="50"/>
      <c r="EY39" s="50"/>
      <c r="EZ39" s="50"/>
      <c r="FA39" s="50"/>
      <c r="FB39" s="50"/>
      <c r="FC39" s="50"/>
      <c r="FD39" s="50"/>
      <c r="FE39" s="50"/>
    </row>
    <row r="40" spans="1:16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50"/>
      <c r="DJ40" s="50"/>
      <c r="DK40" s="50"/>
      <c r="DL40" s="50"/>
      <c r="DM40" s="50"/>
      <c r="DN40" s="50"/>
      <c r="DO40" s="50"/>
      <c r="DP40" s="50"/>
      <c r="DQ40" s="50"/>
      <c r="DR40" s="50"/>
      <c r="DS40" s="50"/>
      <c r="DT40" s="50"/>
      <c r="DU40" s="50"/>
      <c r="DV40" s="50"/>
      <c r="DW40" s="50"/>
      <c r="DX40" s="50"/>
      <c r="DY40" s="50"/>
      <c r="DZ40" s="50"/>
      <c r="EA40" s="50"/>
      <c r="EB40" s="50"/>
      <c r="EC40" s="50"/>
      <c r="ED40" s="50"/>
      <c r="EE40" s="50"/>
      <c r="EF40" s="50"/>
      <c r="EG40" s="50"/>
      <c r="EH40" s="50"/>
      <c r="EI40" s="50"/>
      <c r="EJ40" s="50"/>
      <c r="EK40" s="50"/>
      <c r="EL40" s="50"/>
      <c r="EM40" s="50"/>
      <c r="EN40" s="50"/>
      <c r="EO40" s="50"/>
      <c r="EP40" s="50"/>
      <c r="EQ40" s="50"/>
      <c r="ER40" s="50"/>
      <c r="ES40" s="50"/>
      <c r="ET40" s="50"/>
      <c r="EU40" s="50"/>
      <c r="EV40" s="50"/>
      <c r="EW40" s="50"/>
      <c r="EX40" s="50"/>
      <c r="EY40" s="50"/>
      <c r="EZ40" s="50"/>
      <c r="FA40" s="50"/>
      <c r="FB40" s="50"/>
      <c r="FC40" s="50"/>
      <c r="FD40" s="50"/>
      <c r="FE40" s="50"/>
    </row>
    <row r="41" spans="1:16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c r="CO41" s="50"/>
      <c r="CP41" s="50"/>
      <c r="CQ41" s="50"/>
      <c r="CR41" s="50"/>
      <c r="CS41" s="50"/>
      <c r="CT41" s="50"/>
      <c r="CU41" s="50"/>
      <c r="CV41" s="50"/>
      <c r="CW41" s="50"/>
      <c r="CX41" s="50"/>
      <c r="CY41" s="50"/>
      <c r="CZ41" s="50"/>
      <c r="DA41" s="50"/>
      <c r="DB41" s="50"/>
      <c r="DC41" s="50"/>
      <c r="DD41" s="50"/>
      <c r="DE41" s="50"/>
      <c r="DF41" s="50"/>
      <c r="DG41" s="50"/>
      <c r="DH41" s="50"/>
      <c r="DI41" s="50"/>
      <c r="DJ41" s="50"/>
      <c r="DK41" s="50"/>
      <c r="DL41" s="50"/>
      <c r="DM41" s="50"/>
      <c r="DN41" s="50"/>
      <c r="DO41" s="50"/>
      <c r="DP41" s="50"/>
      <c r="DQ41" s="50"/>
      <c r="DR41" s="50"/>
      <c r="DS41" s="50"/>
      <c r="DT41" s="50"/>
      <c r="DU41" s="50"/>
      <c r="DV41" s="50"/>
      <c r="DW41" s="50"/>
      <c r="DX41" s="50"/>
      <c r="DY41" s="50"/>
      <c r="DZ41" s="50"/>
      <c r="EA41" s="50"/>
      <c r="EB41" s="50"/>
      <c r="EC41" s="50"/>
      <c r="ED41" s="50"/>
      <c r="EE41" s="50"/>
      <c r="EF41" s="50"/>
      <c r="EG41" s="50"/>
      <c r="EH41" s="50"/>
      <c r="EI41" s="50"/>
      <c r="EJ41" s="50"/>
      <c r="EK41" s="50"/>
      <c r="EL41" s="50"/>
      <c r="EM41" s="50"/>
      <c r="EN41" s="50"/>
      <c r="EO41" s="50"/>
      <c r="EP41" s="50"/>
      <c r="EQ41" s="50"/>
      <c r="ER41" s="50"/>
      <c r="ES41" s="50"/>
      <c r="ET41" s="50"/>
      <c r="EU41" s="50"/>
      <c r="EV41" s="50"/>
      <c r="EW41" s="50"/>
      <c r="EX41" s="50"/>
      <c r="EY41" s="50"/>
      <c r="EZ41" s="50"/>
      <c r="FA41" s="50"/>
      <c r="FB41" s="50"/>
      <c r="FC41" s="50"/>
      <c r="FD41" s="50"/>
      <c r="FE41" s="50"/>
    </row>
    <row r="42" spans="1:16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row>
    <row r="43" spans="1:16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row>
    <row r="44" spans="1:16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row>
    <row r="45" spans="1:16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row>
    <row r="46" spans="1:16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row>
    <row r="47" spans="1:16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row>
    <row r="48" spans="1:16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row>
    <row r="49" spans="1:16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c r="CX49" s="50"/>
      <c r="CY49" s="50"/>
      <c r="CZ49" s="50"/>
      <c r="DA49" s="50"/>
      <c r="DB49" s="50"/>
      <c r="DC49" s="50"/>
      <c r="DD49" s="50"/>
      <c r="DE49" s="50"/>
      <c r="DF49" s="50"/>
      <c r="DG49" s="50"/>
      <c r="DH49" s="50"/>
      <c r="DI49" s="50"/>
      <c r="DJ49" s="50"/>
      <c r="DK49" s="50"/>
      <c r="DL49" s="50"/>
      <c r="DM49" s="50"/>
      <c r="DN49" s="50"/>
      <c r="DO49" s="50"/>
      <c r="DP49" s="50"/>
      <c r="DQ49" s="50"/>
      <c r="DR49" s="50"/>
      <c r="DS49" s="50"/>
      <c r="DT49" s="50"/>
      <c r="DU49" s="50"/>
      <c r="DV49" s="50"/>
      <c r="DW49" s="50"/>
      <c r="DX49" s="50"/>
      <c r="DY49" s="50"/>
      <c r="DZ49" s="50"/>
      <c r="EA49" s="50"/>
      <c r="EB49" s="50"/>
      <c r="EC49" s="50"/>
      <c r="ED49" s="50"/>
      <c r="EE49" s="50"/>
      <c r="EF49" s="50"/>
      <c r="EG49" s="50"/>
      <c r="EH49" s="50"/>
      <c r="EI49" s="50"/>
      <c r="EJ49" s="50"/>
      <c r="EK49" s="50"/>
      <c r="EL49" s="50"/>
      <c r="EM49" s="50"/>
      <c r="EN49" s="50"/>
      <c r="EO49" s="50"/>
      <c r="EP49" s="50"/>
      <c r="EQ49" s="50"/>
      <c r="ER49" s="50"/>
      <c r="ES49" s="50"/>
      <c r="ET49" s="50"/>
      <c r="EU49" s="50"/>
      <c r="EV49" s="50"/>
      <c r="EW49" s="50"/>
      <c r="EX49" s="50"/>
      <c r="EY49" s="50"/>
      <c r="EZ49" s="50"/>
      <c r="FA49" s="50"/>
      <c r="FB49" s="50"/>
      <c r="FC49" s="50"/>
      <c r="FD49" s="50"/>
      <c r="FE49" s="50"/>
    </row>
    <row r="50" spans="1:16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c r="CR50" s="50"/>
      <c r="CS50" s="50"/>
      <c r="CT50" s="50"/>
      <c r="CU50" s="50"/>
      <c r="CV50" s="50"/>
      <c r="CW50" s="50"/>
      <c r="CX50" s="50"/>
      <c r="CY50" s="50"/>
      <c r="CZ50" s="50"/>
      <c r="DA50" s="50"/>
      <c r="DB50" s="50"/>
      <c r="DC50" s="50"/>
      <c r="DD50" s="50"/>
      <c r="DE50" s="50"/>
      <c r="DF50" s="50"/>
      <c r="DG50" s="50"/>
      <c r="DH50" s="50"/>
      <c r="DI50" s="50"/>
      <c r="DJ50" s="50"/>
      <c r="DK50" s="50"/>
      <c r="DL50" s="50"/>
      <c r="DM50" s="50"/>
      <c r="DN50" s="50"/>
      <c r="DO50" s="50"/>
      <c r="DP50" s="50"/>
      <c r="DQ50" s="50"/>
      <c r="DR50" s="50"/>
      <c r="DS50" s="50"/>
      <c r="DT50" s="50"/>
      <c r="DU50" s="50"/>
      <c r="DV50" s="50"/>
      <c r="DW50" s="50"/>
      <c r="DX50" s="50"/>
      <c r="DY50" s="50"/>
      <c r="DZ50" s="50"/>
      <c r="EA50" s="50"/>
      <c r="EB50" s="50"/>
      <c r="EC50" s="50"/>
      <c r="ED50" s="50"/>
      <c r="EE50" s="50"/>
      <c r="EF50" s="50"/>
      <c r="EG50" s="50"/>
      <c r="EH50" s="50"/>
      <c r="EI50" s="50"/>
      <c r="EJ50" s="50"/>
      <c r="EK50" s="50"/>
      <c r="EL50" s="50"/>
      <c r="EM50" s="50"/>
      <c r="EN50" s="50"/>
      <c r="EO50" s="50"/>
      <c r="EP50" s="50"/>
      <c r="EQ50" s="50"/>
      <c r="ER50" s="50"/>
      <c r="ES50" s="50"/>
      <c r="ET50" s="50"/>
      <c r="EU50" s="50"/>
      <c r="EV50" s="50"/>
      <c r="EW50" s="50"/>
      <c r="EX50" s="50"/>
      <c r="EY50" s="50"/>
      <c r="EZ50" s="50"/>
      <c r="FA50" s="50"/>
      <c r="FB50" s="50"/>
      <c r="FC50" s="50"/>
      <c r="FD50" s="50"/>
      <c r="FE50" s="50"/>
    </row>
    <row r="51" spans="1:16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c r="CR51" s="50"/>
      <c r="CS51" s="50"/>
      <c r="CT51" s="50"/>
      <c r="CU51" s="50"/>
      <c r="CV51" s="50"/>
      <c r="CW51" s="50"/>
      <c r="CX51" s="50"/>
      <c r="CY51" s="50"/>
      <c r="CZ51" s="50"/>
      <c r="DA51" s="50"/>
      <c r="DB51" s="50"/>
      <c r="DC51" s="50"/>
      <c r="DD51" s="50"/>
      <c r="DE51" s="50"/>
      <c r="DF51" s="50"/>
      <c r="DG51" s="50"/>
      <c r="DH51" s="50"/>
      <c r="DI51" s="50"/>
      <c r="DJ51" s="50"/>
      <c r="DK51" s="50"/>
      <c r="DL51" s="50"/>
      <c r="DM51" s="50"/>
      <c r="DN51" s="50"/>
      <c r="DO51" s="50"/>
      <c r="DP51" s="50"/>
      <c r="DQ51" s="50"/>
      <c r="DR51" s="50"/>
      <c r="DS51" s="50"/>
      <c r="DT51" s="50"/>
      <c r="DU51" s="50"/>
      <c r="DV51" s="50"/>
      <c r="DW51" s="50"/>
      <c r="DX51" s="50"/>
      <c r="DY51" s="50"/>
      <c r="DZ51" s="50"/>
      <c r="EA51" s="50"/>
      <c r="EB51" s="50"/>
      <c r="EC51" s="50"/>
      <c r="ED51" s="50"/>
      <c r="EE51" s="50"/>
      <c r="EF51" s="50"/>
      <c r="EG51" s="50"/>
      <c r="EH51" s="50"/>
      <c r="EI51" s="50"/>
      <c r="EJ51" s="50"/>
      <c r="EK51" s="50"/>
      <c r="EL51" s="50"/>
      <c r="EM51" s="50"/>
      <c r="EN51" s="50"/>
      <c r="EO51" s="50"/>
      <c r="EP51" s="50"/>
      <c r="EQ51" s="50"/>
      <c r="ER51" s="50"/>
      <c r="ES51" s="50"/>
      <c r="ET51" s="50"/>
      <c r="EU51" s="50"/>
      <c r="EV51" s="50"/>
      <c r="EW51" s="50"/>
      <c r="EX51" s="50"/>
      <c r="EY51" s="50"/>
      <c r="EZ51" s="50"/>
      <c r="FA51" s="50"/>
      <c r="FB51" s="50"/>
      <c r="FC51" s="50"/>
      <c r="FD51" s="50"/>
      <c r="FE51" s="50"/>
    </row>
    <row r="52" spans="1:16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c r="CX52" s="50"/>
      <c r="CY52" s="50"/>
      <c r="CZ52" s="50"/>
      <c r="DA52" s="50"/>
      <c r="DB52" s="50"/>
      <c r="DC52" s="50"/>
      <c r="DD52" s="50"/>
      <c r="DE52" s="50"/>
      <c r="DF52" s="50"/>
      <c r="DG52" s="50"/>
      <c r="DH52" s="50"/>
      <c r="DI52" s="50"/>
      <c r="DJ52" s="50"/>
      <c r="DK52" s="50"/>
      <c r="DL52" s="50"/>
      <c r="DM52" s="50"/>
      <c r="DN52" s="50"/>
      <c r="DO52" s="50"/>
      <c r="DP52" s="50"/>
      <c r="DQ52" s="50"/>
      <c r="DR52" s="50"/>
      <c r="DS52" s="50"/>
      <c r="DT52" s="50"/>
      <c r="DU52" s="50"/>
      <c r="DV52" s="50"/>
      <c r="DW52" s="50"/>
      <c r="DX52" s="50"/>
      <c r="DY52" s="50"/>
      <c r="DZ52" s="50"/>
      <c r="EA52" s="50"/>
      <c r="EB52" s="50"/>
      <c r="EC52" s="50"/>
      <c r="ED52" s="50"/>
      <c r="EE52" s="50"/>
      <c r="EF52" s="50"/>
      <c r="EG52" s="50"/>
      <c r="EH52" s="50"/>
      <c r="EI52" s="50"/>
      <c r="EJ52" s="50"/>
      <c r="EK52" s="50"/>
      <c r="EL52" s="50"/>
      <c r="EM52" s="50"/>
      <c r="EN52" s="50"/>
      <c r="EO52" s="50"/>
      <c r="EP52" s="50"/>
      <c r="EQ52" s="50"/>
      <c r="ER52" s="50"/>
      <c r="ES52" s="50"/>
      <c r="ET52" s="50"/>
      <c r="EU52" s="50"/>
      <c r="EV52" s="50"/>
      <c r="EW52" s="50"/>
      <c r="EX52" s="50"/>
      <c r="EY52" s="50"/>
      <c r="EZ52" s="50"/>
      <c r="FA52" s="50"/>
      <c r="FB52" s="50"/>
      <c r="FC52" s="50"/>
      <c r="FD52" s="50"/>
      <c r="FE52" s="50"/>
    </row>
    <row r="53" spans="1:16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c r="CR53" s="50"/>
      <c r="CS53" s="50"/>
      <c r="CT53" s="50"/>
      <c r="CU53" s="50"/>
      <c r="CV53" s="50"/>
      <c r="CW53" s="50"/>
      <c r="CX53" s="50"/>
      <c r="CY53" s="50"/>
      <c r="CZ53" s="50"/>
      <c r="DA53" s="50"/>
      <c r="DB53" s="50"/>
      <c r="DC53" s="50"/>
      <c r="DD53" s="50"/>
      <c r="DE53" s="50"/>
      <c r="DF53" s="50"/>
      <c r="DG53" s="50"/>
      <c r="DH53" s="50"/>
      <c r="DI53" s="50"/>
      <c r="DJ53" s="50"/>
      <c r="DK53" s="50"/>
      <c r="DL53" s="50"/>
      <c r="DM53" s="50"/>
      <c r="DN53" s="50"/>
      <c r="DO53" s="50"/>
      <c r="DP53" s="50"/>
      <c r="DQ53" s="50"/>
      <c r="DR53" s="50"/>
      <c r="DS53" s="50"/>
      <c r="DT53" s="50"/>
      <c r="DU53" s="50"/>
      <c r="DV53" s="50"/>
      <c r="DW53" s="50"/>
      <c r="DX53" s="50"/>
      <c r="DY53" s="50"/>
      <c r="DZ53" s="50"/>
      <c r="EA53" s="50"/>
      <c r="EB53" s="50"/>
      <c r="EC53" s="50"/>
      <c r="ED53" s="50"/>
      <c r="EE53" s="50"/>
      <c r="EF53" s="50"/>
      <c r="EG53" s="50"/>
      <c r="EH53" s="50"/>
      <c r="EI53" s="50"/>
      <c r="EJ53" s="50"/>
      <c r="EK53" s="50"/>
      <c r="EL53" s="50"/>
      <c r="EM53" s="50"/>
      <c r="EN53" s="50"/>
      <c r="EO53" s="50"/>
      <c r="EP53" s="50"/>
      <c r="EQ53" s="50"/>
      <c r="ER53" s="50"/>
      <c r="ES53" s="50"/>
      <c r="ET53" s="50"/>
      <c r="EU53" s="50"/>
      <c r="EV53" s="50"/>
      <c r="EW53" s="50"/>
      <c r="EX53" s="50"/>
      <c r="EY53" s="50"/>
      <c r="EZ53" s="50"/>
      <c r="FA53" s="50"/>
      <c r="FB53" s="50"/>
      <c r="FC53" s="50"/>
      <c r="FD53" s="50"/>
      <c r="FE53" s="50"/>
    </row>
    <row r="54" spans="1:16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50"/>
      <c r="DJ54" s="50"/>
      <c r="DK54" s="50"/>
      <c r="DL54" s="50"/>
      <c r="DM54" s="50"/>
      <c r="DN54" s="50"/>
      <c r="DO54" s="50"/>
      <c r="DP54" s="50"/>
      <c r="DQ54" s="50"/>
      <c r="DR54" s="50"/>
      <c r="DS54" s="50"/>
      <c r="DT54" s="50"/>
      <c r="DU54" s="50"/>
      <c r="DV54" s="50"/>
      <c r="DW54" s="50"/>
      <c r="DX54" s="50"/>
      <c r="DY54" s="50"/>
      <c r="DZ54" s="50"/>
      <c r="EA54" s="50"/>
      <c r="EB54" s="50"/>
      <c r="EC54" s="50"/>
      <c r="ED54" s="50"/>
      <c r="EE54" s="50"/>
      <c r="EF54" s="50"/>
      <c r="EG54" s="50"/>
      <c r="EH54" s="50"/>
      <c r="EI54" s="50"/>
      <c r="EJ54" s="50"/>
      <c r="EK54" s="50"/>
      <c r="EL54" s="50"/>
      <c r="EM54" s="50"/>
      <c r="EN54" s="50"/>
      <c r="EO54" s="50"/>
      <c r="EP54" s="50"/>
      <c r="EQ54" s="50"/>
      <c r="ER54" s="50"/>
      <c r="ES54" s="50"/>
      <c r="ET54" s="50"/>
      <c r="EU54" s="50"/>
      <c r="EV54" s="50"/>
      <c r="EW54" s="50"/>
      <c r="EX54" s="50"/>
      <c r="EY54" s="50"/>
      <c r="EZ54" s="50"/>
      <c r="FA54" s="50"/>
      <c r="FB54" s="50"/>
      <c r="FC54" s="50"/>
      <c r="FD54" s="50"/>
      <c r="FE54" s="50"/>
    </row>
    <row r="55" spans="1:16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row>
    <row r="56" spans="1:16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50"/>
      <c r="DC56" s="50"/>
      <c r="DD56" s="50"/>
      <c r="DE56" s="50"/>
      <c r="DF56" s="50"/>
      <c r="DG56" s="50"/>
      <c r="DH56" s="50"/>
      <c r="DI56" s="50"/>
      <c r="DJ56" s="50"/>
      <c r="DK56" s="50"/>
      <c r="DL56" s="50"/>
      <c r="DM56" s="50"/>
      <c r="DN56" s="50"/>
      <c r="DO56" s="50"/>
      <c r="DP56" s="50"/>
      <c r="DQ56" s="50"/>
      <c r="DR56" s="50"/>
      <c r="DS56" s="50"/>
      <c r="DT56" s="50"/>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0"/>
      <c r="EX56" s="50"/>
      <c r="EY56" s="50"/>
      <c r="EZ56" s="50"/>
      <c r="FA56" s="50"/>
      <c r="FB56" s="50"/>
      <c r="FC56" s="50"/>
      <c r="FD56" s="50"/>
      <c r="FE56" s="50"/>
    </row>
    <row r="57" spans="1:16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row>
    <row r="58" spans="1:16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row>
    <row r="59" spans="1:16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row>
    <row r="60" spans="1:16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0"/>
      <c r="DJ60" s="50"/>
      <c r="DK60" s="50"/>
      <c r="DL60" s="50"/>
      <c r="DM60" s="50"/>
      <c r="DN60" s="50"/>
      <c r="DO60" s="50"/>
      <c r="DP60" s="50"/>
      <c r="DQ60" s="50"/>
      <c r="DR60" s="50"/>
      <c r="DS60" s="50"/>
      <c r="DT60" s="50"/>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0"/>
      <c r="EX60" s="50"/>
      <c r="EY60" s="50"/>
      <c r="EZ60" s="50"/>
      <c r="FA60" s="50"/>
      <c r="FB60" s="50"/>
      <c r="FC60" s="50"/>
      <c r="FD60" s="50"/>
      <c r="FE60" s="50"/>
    </row>
    <row r="61" spans="1:1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c r="CR61" s="50"/>
      <c r="CS61" s="50"/>
      <c r="CT61" s="50"/>
      <c r="CU61" s="50"/>
      <c r="CV61" s="50"/>
      <c r="CW61" s="50"/>
      <c r="CX61" s="50"/>
      <c r="CY61" s="50"/>
      <c r="CZ61" s="50"/>
      <c r="DA61" s="50"/>
      <c r="DB61" s="50"/>
      <c r="DC61" s="50"/>
      <c r="DD61" s="50"/>
      <c r="DE61" s="50"/>
      <c r="DF61" s="50"/>
      <c r="DG61" s="50"/>
      <c r="DH61" s="50"/>
      <c r="DI61" s="50"/>
      <c r="DJ61" s="50"/>
      <c r="DK61" s="50"/>
      <c r="DL61" s="50"/>
      <c r="DM61" s="50"/>
      <c r="DN61" s="50"/>
      <c r="DO61" s="50"/>
      <c r="DP61" s="50"/>
      <c r="DQ61" s="50"/>
      <c r="DR61" s="50"/>
      <c r="DS61" s="50"/>
      <c r="DT61" s="50"/>
      <c r="DU61" s="50"/>
      <c r="DV61" s="50"/>
      <c r="DW61" s="50"/>
      <c r="DX61" s="50"/>
      <c r="DY61" s="50"/>
      <c r="DZ61" s="50"/>
      <c r="EA61" s="50"/>
      <c r="EB61" s="50"/>
      <c r="EC61" s="50"/>
      <c r="ED61" s="50"/>
      <c r="EE61" s="50"/>
      <c r="EF61" s="50"/>
      <c r="EG61" s="50"/>
      <c r="EH61" s="50"/>
      <c r="EI61" s="50"/>
      <c r="EJ61" s="50"/>
      <c r="EK61" s="50"/>
      <c r="EL61" s="50"/>
      <c r="EM61" s="50"/>
      <c r="EN61" s="50"/>
      <c r="EO61" s="50"/>
      <c r="EP61" s="50"/>
      <c r="EQ61" s="50"/>
      <c r="ER61" s="50"/>
      <c r="ES61" s="50"/>
      <c r="ET61" s="50"/>
      <c r="EU61" s="50"/>
      <c r="EV61" s="50"/>
      <c r="EW61" s="50"/>
      <c r="EX61" s="50"/>
      <c r="EY61" s="50"/>
      <c r="EZ61" s="50"/>
      <c r="FA61" s="50"/>
      <c r="FB61" s="50"/>
      <c r="FC61" s="50"/>
      <c r="FD61" s="50"/>
      <c r="FE61" s="50"/>
    </row>
    <row r="62" spans="1:16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row>
    <row r="63" spans="1:16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50"/>
      <c r="DJ63" s="50"/>
      <c r="DK63" s="50"/>
      <c r="DL63" s="50"/>
      <c r="DM63" s="50"/>
      <c r="DN63" s="50"/>
      <c r="DO63" s="50"/>
      <c r="DP63" s="50"/>
      <c r="DQ63" s="50"/>
      <c r="DR63" s="50"/>
      <c r="DS63" s="50"/>
      <c r="DT63" s="50"/>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0"/>
      <c r="EX63" s="50"/>
      <c r="EY63" s="50"/>
      <c r="EZ63" s="50"/>
      <c r="FA63" s="50"/>
      <c r="FB63" s="50"/>
      <c r="FC63" s="50"/>
      <c r="FD63" s="50"/>
      <c r="FE63" s="50"/>
    </row>
    <row r="64" spans="1:16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50"/>
      <c r="DJ64" s="50"/>
      <c r="DK64" s="50"/>
      <c r="DL64" s="50"/>
      <c r="DM64" s="50"/>
      <c r="DN64" s="50"/>
      <c r="DO64" s="50"/>
      <c r="DP64" s="50"/>
      <c r="DQ64" s="50"/>
      <c r="DR64" s="50"/>
      <c r="DS64" s="50"/>
      <c r="DT64" s="50"/>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0"/>
      <c r="EX64" s="50"/>
      <c r="EY64" s="50"/>
      <c r="EZ64" s="50"/>
      <c r="FA64" s="50"/>
      <c r="FB64" s="50"/>
      <c r="FC64" s="50"/>
      <c r="FD64" s="50"/>
      <c r="FE64" s="50"/>
    </row>
    <row r="65" spans="1:16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c r="CO65" s="50"/>
      <c r="CP65" s="50"/>
      <c r="CQ65" s="50"/>
      <c r="CR65" s="50"/>
      <c r="CS65" s="50"/>
      <c r="CT65" s="50"/>
      <c r="CU65" s="50"/>
      <c r="CV65" s="50"/>
      <c r="CW65" s="50"/>
      <c r="CX65" s="50"/>
      <c r="CY65" s="50"/>
      <c r="CZ65" s="50"/>
      <c r="DA65" s="50"/>
      <c r="DB65" s="50"/>
      <c r="DC65" s="50"/>
      <c r="DD65" s="50"/>
      <c r="DE65" s="50"/>
      <c r="DF65" s="50"/>
      <c r="DG65" s="50"/>
      <c r="DH65" s="50"/>
      <c r="DI65" s="50"/>
      <c r="DJ65" s="50"/>
      <c r="DK65" s="50"/>
      <c r="DL65" s="50"/>
      <c r="DM65" s="50"/>
      <c r="DN65" s="50"/>
      <c r="DO65" s="50"/>
      <c r="DP65" s="50"/>
      <c r="DQ65" s="50"/>
      <c r="DR65" s="50"/>
      <c r="DS65" s="50"/>
      <c r="DT65" s="50"/>
      <c r="DU65" s="50"/>
      <c r="DV65" s="50"/>
      <c r="DW65" s="50"/>
      <c r="DX65" s="50"/>
      <c r="DY65" s="50"/>
      <c r="DZ65" s="50"/>
      <c r="EA65" s="50"/>
      <c r="EB65" s="50"/>
      <c r="EC65" s="50"/>
      <c r="ED65" s="50"/>
      <c r="EE65" s="50"/>
      <c r="EF65" s="50"/>
      <c r="EG65" s="50"/>
      <c r="EH65" s="50"/>
      <c r="EI65" s="50"/>
      <c r="EJ65" s="50"/>
      <c r="EK65" s="50"/>
      <c r="EL65" s="50"/>
      <c r="EM65" s="50"/>
      <c r="EN65" s="50"/>
      <c r="EO65" s="50"/>
      <c r="EP65" s="50"/>
      <c r="EQ65" s="50"/>
      <c r="ER65" s="50"/>
      <c r="ES65" s="50"/>
      <c r="ET65" s="50"/>
      <c r="EU65" s="50"/>
      <c r="EV65" s="50"/>
      <c r="EW65" s="50"/>
      <c r="EX65" s="50"/>
      <c r="EY65" s="50"/>
      <c r="EZ65" s="50"/>
      <c r="FA65" s="50"/>
      <c r="FB65" s="50"/>
      <c r="FC65" s="50"/>
      <c r="FD65" s="50"/>
      <c r="FE65" s="50"/>
    </row>
    <row r="66" spans="1:16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50"/>
      <c r="DJ66" s="50"/>
      <c r="DK66" s="50"/>
      <c r="DL66" s="50"/>
      <c r="DM66" s="50"/>
      <c r="DN66" s="50"/>
      <c r="DO66" s="50"/>
      <c r="DP66" s="50"/>
      <c r="DQ66" s="50"/>
      <c r="DR66" s="50"/>
      <c r="DS66" s="50"/>
      <c r="DT66" s="50"/>
      <c r="DU66" s="50"/>
      <c r="DV66" s="50"/>
      <c r="DW66" s="50"/>
      <c r="DX66" s="50"/>
      <c r="DY66" s="50"/>
      <c r="DZ66" s="50"/>
      <c r="EA66" s="50"/>
      <c r="EB66" s="50"/>
      <c r="EC66" s="50"/>
      <c r="ED66" s="50"/>
      <c r="EE66" s="50"/>
      <c r="EF66" s="50"/>
      <c r="EG66" s="50"/>
      <c r="EH66" s="50"/>
      <c r="EI66" s="50"/>
      <c r="EJ66" s="50"/>
      <c r="EK66" s="50"/>
      <c r="EL66" s="50"/>
      <c r="EM66" s="50"/>
      <c r="EN66" s="50"/>
      <c r="EO66" s="50"/>
      <c r="EP66" s="50"/>
      <c r="EQ66" s="50"/>
      <c r="ER66" s="50"/>
      <c r="ES66" s="50"/>
      <c r="ET66" s="50"/>
      <c r="EU66" s="50"/>
      <c r="EV66" s="50"/>
      <c r="EW66" s="50"/>
      <c r="EX66" s="50"/>
      <c r="EY66" s="50"/>
      <c r="EZ66" s="50"/>
      <c r="FA66" s="50"/>
      <c r="FB66" s="50"/>
      <c r="FC66" s="50"/>
      <c r="FD66" s="50"/>
      <c r="FE66" s="50"/>
    </row>
    <row r="67" spans="1:16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c r="CO67" s="50"/>
      <c r="CP67" s="50"/>
      <c r="CQ67" s="50"/>
      <c r="CR67" s="50"/>
      <c r="CS67" s="50"/>
      <c r="CT67" s="50"/>
      <c r="CU67" s="50"/>
      <c r="CV67" s="50"/>
      <c r="CW67" s="50"/>
      <c r="CX67" s="50"/>
      <c r="CY67" s="50"/>
      <c r="CZ67" s="50"/>
      <c r="DA67" s="50"/>
      <c r="DB67" s="50"/>
      <c r="DC67" s="50"/>
      <c r="DD67" s="50"/>
      <c r="DE67" s="50"/>
      <c r="DF67" s="50"/>
      <c r="DG67" s="50"/>
      <c r="DH67" s="50"/>
      <c r="DI67" s="50"/>
      <c r="DJ67" s="50"/>
      <c r="DK67" s="50"/>
      <c r="DL67" s="50"/>
      <c r="DM67" s="50"/>
      <c r="DN67" s="50"/>
      <c r="DO67" s="50"/>
      <c r="DP67" s="50"/>
      <c r="DQ67" s="50"/>
      <c r="DR67" s="50"/>
      <c r="DS67" s="50"/>
      <c r="DT67" s="50"/>
      <c r="DU67" s="50"/>
      <c r="DV67" s="50"/>
      <c r="DW67" s="50"/>
      <c r="DX67" s="50"/>
      <c r="DY67" s="50"/>
      <c r="DZ67" s="50"/>
      <c r="EA67" s="50"/>
      <c r="EB67" s="50"/>
      <c r="EC67" s="50"/>
      <c r="ED67" s="50"/>
      <c r="EE67" s="50"/>
      <c r="EF67" s="50"/>
      <c r="EG67" s="50"/>
      <c r="EH67" s="50"/>
      <c r="EI67" s="50"/>
      <c r="EJ67" s="50"/>
      <c r="EK67" s="50"/>
      <c r="EL67" s="50"/>
      <c r="EM67" s="50"/>
      <c r="EN67" s="50"/>
      <c r="EO67" s="50"/>
      <c r="EP67" s="50"/>
      <c r="EQ67" s="50"/>
      <c r="ER67" s="50"/>
      <c r="ES67" s="50"/>
      <c r="ET67" s="50"/>
      <c r="EU67" s="50"/>
      <c r="EV67" s="50"/>
      <c r="EW67" s="50"/>
      <c r="EX67" s="50"/>
      <c r="EY67" s="50"/>
      <c r="EZ67" s="50"/>
      <c r="FA67" s="50"/>
      <c r="FB67" s="50"/>
      <c r="FC67" s="50"/>
      <c r="FD67" s="50"/>
      <c r="FE67" s="50"/>
    </row>
    <row r="68" spans="1:16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c r="CO68" s="50"/>
      <c r="CP68" s="50"/>
      <c r="CQ68" s="50"/>
      <c r="CR68" s="50"/>
      <c r="CS68" s="50"/>
      <c r="CT68" s="50"/>
      <c r="CU68" s="50"/>
      <c r="CV68" s="50"/>
      <c r="CW68" s="50"/>
      <c r="CX68" s="50"/>
      <c r="CY68" s="50"/>
      <c r="CZ68" s="50"/>
      <c r="DA68" s="50"/>
      <c r="DB68" s="50"/>
      <c r="DC68" s="50"/>
      <c r="DD68" s="50"/>
      <c r="DE68" s="50"/>
      <c r="DF68" s="50"/>
      <c r="DG68" s="50"/>
      <c r="DH68" s="50"/>
      <c r="DI68" s="50"/>
      <c r="DJ68" s="50"/>
      <c r="DK68" s="50"/>
      <c r="DL68" s="50"/>
      <c r="DM68" s="50"/>
      <c r="DN68" s="50"/>
      <c r="DO68" s="50"/>
      <c r="DP68" s="50"/>
      <c r="DQ68" s="50"/>
      <c r="DR68" s="50"/>
      <c r="DS68" s="50"/>
      <c r="DT68" s="50"/>
      <c r="DU68" s="50"/>
      <c r="DV68" s="50"/>
      <c r="DW68" s="50"/>
      <c r="DX68" s="50"/>
      <c r="DY68" s="50"/>
      <c r="DZ68" s="50"/>
      <c r="EA68" s="50"/>
      <c r="EB68" s="50"/>
      <c r="EC68" s="50"/>
      <c r="ED68" s="50"/>
      <c r="EE68" s="50"/>
      <c r="EF68" s="50"/>
      <c r="EG68" s="50"/>
      <c r="EH68" s="50"/>
      <c r="EI68" s="50"/>
      <c r="EJ68" s="50"/>
      <c r="EK68" s="50"/>
      <c r="EL68" s="50"/>
      <c r="EM68" s="50"/>
      <c r="EN68" s="50"/>
      <c r="EO68" s="50"/>
      <c r="EP68" s="50"/>
      <c r="EQ68" s="50"/>
      <c r="ER68" s="50"/>
      <c r="ES68" s="50"/>
      <c r="ET68" s="50"/>
      <c r="EU68" s="50"/>
      <c r="EV68" s="50"/>
      <c r="EW68" s="50"/>
      <c r="EX68" s="50"/>
      <c r="EY68" s="50"/>
      <c r="EZ68" s="50"/>
      <c r="FA68" s="50"/>
      <c r="FB68" s="50"/>
      <c r="FC68" s="50"/>
      <c r="FD68" s="50"/>
      <c r="FE68" s="50"/>
    </row>
    <row r="69" spans="1:16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c r="CO69" s="50"/>
      <c r="CP69" s="50"/>
      <c r="CQ69" s="50"/>
      <c r="CR69" s="50"/>
      <c r="CS69" s="50"/>
      <c r="CT69" s="50"/>
      <c r="CU69" s="50"/>
      <c r="CV69" s="50"/>
      <c r="CW69" s="50"/>
      <c r="CX69" s="50"/>
      <c r="CY69" s="50"/>
      <c r="CZ69" s="50"/>
      <c r="DA69" s="50"/>
      <c r="DB69" s="50"/>
      <c r="DC69" s="50"/>
      <c r="DD69" s="50"/>
      <c r="DE69" s="50"/>
      <c r="DF69" s="50"/>
      <c r="DG69" s="50"/>
      <c r="DH69" s="50"/>
      <c r="DI69" s="50"/>
      <c r="DJ69" s="50"/>
      <c r="DK69" s="50"/>
      <c r="DL69" s="50"/>
      <c r="DM69" s="50"/>
      <c r="DN69" s="50"/>
      <c r="DO69" s="50"/>
      <c r="DP69" s="50"/>
      <c r="DQ69" s="50"/>
      <c r="DR69" s="50"/>
      <c r="DS69" s="50"/>
      <c r="DT69" s="50"/>
      <c r="DU69" s="50"/>
      <c r="DV69" s="50"/>
      <c r="DW69" s="50"/>
      <c r="DX69" s="50"/>
      <c r="DY69" s="50"/>
      <c r="DZ69" s="50"/>
      <c r="EA69" s="50"/>
      <c r="EB69" s="50"/>
      <c r="EC69" s="50"/>
      <c r="ED69" s="50"/>
      <c r="EE69" s="50"/>
      <c r="EF69" s="50"/>
      <c r="EG69" s="50"/>
      <c r="EH69" s="50"/>
      <c r="EI69" s="50"/>
      <c r="EJ69" s="50"/>
      <c r="EK69" s="50"/>
      <c r="EL69" s="50"/>
      <c r="EM69" s="50"/>
      <c r="EN69" s="50"/>
      <c r="EO69" s="50"/>
      <c r="EP69" s="50"/>
      <c r="EQ69" s="50"/>
      <c r="ER69" s="50"/>
      <c r="ES69" s="50"/>
      <c r="ET69" s="50"/>
      <c r="EU69" s="50"/>
      <c r="EV69" s="50"/>
      <c r="EW69" s="50"/>
      <c r="EX69" s="50"/>
      <c r="EY69" s="50"/>
      <c r="EZ69" s="50"/>
      <c r="FA69" s="50"/>
      <c r="FB69" s="50"/>
      <c r="FC69" s="50"/>
      <c r="FD69" s="50"/>
      <c r="FE69" s="50"/>
    </row>
    <row r="70" spans="1:16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c r="CO70" s="50"/>
      <c r="CP70" s="50"/>
      <c r="CQ70" s="50"/>
      <c r="CR70" s="50"/>
      <c r="CS70" s="50"/>
      <c r="CT70" s="50"/>
      <c r="CU70" s="50"/>
      <c r="CV70" s="50"/>
      <c r="CW70" s="50"/>
      <c r="CX70" s="50"/>
      <c r="CY70" s="50"/>
      <c r="CZ70" s="50"/>
      <c r="DA70" s="50"/>
      <c r="DB70" s="50"/>
      <c r="DC70" s="50"/>
      <c r="DD70" s="50"/>
      <c r="DE70" s="50"/>
      <c r="DF70" s="50"/>
      <c r="DG70" s="50"/>
      <c r="DH70" s="50"/>
      <c r="DI70" s="50"/>
      <c r="DJ70" s="50"/>
      <c r="DK70" s="50"/>
      <c r="DL70" s="50"/>
      <c r="DM70" s="50"/>
      <c r="DN70" s="50"/>
      <c r="DO70" s="50"/>
      <c r="DP70" s="50"/>
      <c r="DQ70" s="50"/>
      <c r="DR70" s="50"/>
      <c r="DS70" s="50"/>
      <c r="DT70" s="50"/>
      <c r="DU70" s="50"/>
      <c r="DV70" s="50"/>
      <c r="DW70" s="50"/>
      <c r="DX70" s="50"/>
      <c r="DY70" s="50"/>
      <c r="DZ70" s="50"/>
      <c r="EA70" s="50"/>
      <c r="EB70" s="50"/>
      <c r="EC70" s="50"/>
      <c r="ED70" s="50"/>
      <c r="EE70" s="50"/>
      <c r="EF70" s="50"/>
      <c r="EG70" s="50"/>
      <c r="EH70" s="50"/>
      <c r="EI70" s="50"/>
      <c r="EJ70" s="50"/>
      <c r="EK70" s="50"/>
      <c r="EL70" s="50"/>
      <c r="EM70" s="50"/>
      <c r="EN70" s="50"/>
      <c r="EO70" s="50"/>
      <c r="EP70" s="50"/>
      <c r="EQ70" s="50"/>
      <c r="ER70" s="50"/>
      <c r="ES70" s="50"/>
      <c r="ET70" s="50"/>
      <c r="EU70" s="50"/>
      <c r="EV70" s="50"/>
      <c r="EW70" s="50"/>
      <c r="EX70" s="50"/>
      <c r="EY70" s="50"/>
      <c r="EZ70" s="50"/>
      <c r="FA70" s="50"/>
      <c r="FB70" s="50"/>
      <c r="FC70" s="50"/>
      <c r="FD70" s="50"/>
      <c r="FE70" s="50"/>
    </row>
    <row r="71" spans="1:16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c r="CO71" s="50"/>
      <c r="CP71" s="50"/>
      <c r="CQ71" s="50"/>
      <c r="CR71" s="50"/>
      <c r="CS71" s="50"/>
      <c r="CT71" s="50"/>
      <c r="CU71" s="50"/>
      <c r="CV71" s="50"/>
      <c r="CW71" s="50"/>
      <c r="CX71" s="50"/>
      <c r="CY71" s="50"/>
      <c r="CZ71" s="50"/>
      <c r="DA71" s="50"/>
      <c r="DB71" s="50"/>
      <c r="DC71" s="50"/>
      <c r="DD71" s="50"/>
      <c r="DE71" s="50"/>
      <c r="DF71" s="50"/>
      <c r="DG71" s="50"/>
      <c r="DH71" s="50"/>
      <c r="DI71" s="50"/>
      <c r="DJ71" s="50"/>
      <c r="DK71" s="50"/>
      <c r="DL71" s="50"/>
      <c r="DM71" s="50"/>
      <c r="DN71" s="50"/>
      <c r="DO71" s="50"/>
      <c r="DP71" s="50"/>
      <c r="DQ71" s="50"/>
      <c r="DR71" s="50"/>
      <c r="DS71" s="50"/>
      <c r="DT71" s="50"/>
      <c r="DU71" s="50"/>
      <c r="DV71" s="50"/>
      <c r="DW71" s="50"/>
      <c r="DX71" s="50"/>
      <c r="DY71" s="50"/>
      <c r="DZ71" s="50"/>
      <c r="EA71" s="50"/>
      <c r="EB71" s="50"/>
      <c r="EC71" s="50"/>
      <c r="ED71" s="50"/>
      <c r="EE71" s="50"/>
      <c r="EF71" s="50"/>
      <c r="EG71" s="50"/>
      <c r="EH71" s="50"/>
      <c r="EI71" s="50"/>
      <c r="EJ71" s="50"/>
      <c r="EK71" s="50"/>
      <c r="EL71" s="50"/>
      <c r="EM71" s="50"/>
      <c r="EN71" s="50"/>
      <c r="EO71" s="50"/>
      <c r="EP71" s="50"/>
      <c r="EQ71" s="50"/>
      <c r="ER71" s="50"/>
      <c r="ES71" s="50"/>
      <c r="ET71" s="50"/>
      <c r="EU71" s="50"/>
      <c r="EV71" s="50"/>
      <c r="EW71" s="50"/>
      <c r="EX71" s="50"/>
      <c r="EY71" s="50"/>
      <c r="EZ71" s="50"/>
      <c r="FA71" s="50"/>
      <c r="FB71" s="50"/>
      <c r="FC71" s="50"/>
      <c r="FD71" s="50"/>
      <c r="FE71" s="50"/>
    </row>
    <row r="72" spans="1:16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c r="CR72" s="50"/>
      <c r="CS72" s="50"/>
      <c r="CT72" s="50"/>
      <c r="CU72" s="50"/>
      <c r="CV72" s="50"/>
      <c r="CW72" s="50"/>
      <c r="CX72" s="50"/>
      <c r="CY72" s="50"/>
      <c r="CZ72" s="50"/>
      <c r="DA72" s="50"/>
      <c r="DB72" s="50"/>
      <c r="DC72" s="50"/>
      <c r="DD72" s="50"/>
      <c r="DE72" s="50"/>
      <c r="DF72" s="50"/>
      <c r="DG72" s="50"/>
      <c r="DH72" s="50"/>
      <c r="DI72" s="50"/>
      <c r="DJ72" s="50"/>
      <c r="DK72" s="50"/>
      <c r="DL72" s="50"/>
      <c r="DM72" s="50"/>
      <c r="DN72" s="50"/>
      <c r="DO72" s="50"/>
      <c r="DP72" s="50"/>
      <c r="DQ72" s="50"/>
      <c r="DR72" s="50"/>
      <c r="DS72" s="50"/>
      <c r="DT72" s="50"/>
      <c r="DU72" s="50"/>
      <c r="DV72" s="50"/>
      <c r="DW72" s="50"/>
      <c r="DX72" s="50"/>
      <c r="DY72" s="50"/>
      <c r="DZ72" s="50"/>
      <c r="EA72" s="50"/>
      <c r="EB72" s="50"/>
      <c r="EC72" s="50"/>
      <c r="ED72" s="50"/>
      <c r="EE72" s="50"/>
      <c r="EF72" s="50"/>
      <c r="EG72" s="50"/>
      <c r="EH72" s="50"/>
      <c r="EI72" s="50"/>
      <c r="EJ72" s="50"/>
      <c r="EK72" s="50"/>
      <c r="EL72" s="50"/>
      <c r="EM72" s="50"/>
      <c r="EN72" s="50"/>
      <c r="EO72" s="50"/>
      <c r="EP72" s="50"/>
      <c r="EQ72" s="50"/>
      <c r="ER72" s="50"/>
      <c r="ES72" s="50"/>
      <c r="ET72" s="50"/>
      <c r="EU72" s="50"/>
      <c r="EV72" s="50"/>
      <c r="EW72" s="50"/>
      <c r="EX72" s="50"/>
      <c r="EY72" s="50"/>
      <c r="EZ72" s="50"/>
      <c r="FA72" s="50"/>
      <c r="FB72" s="50"/>
      <c r="FC72" s="50"/>
      <c r="FD72" s="50"/>
      <c r="FE72" s="50"/>
    </row>
    <row r="73" spans="1:16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50"/>
      <c r="DJ73" s="50"/>
      <c r="DK73" s="50"/>
      <c r="DL73" s="50"/>
      <c r="DM73" s="50"/>
      <c r="DN73" s="50"/>
      <c r="DO73" s="50"/>
      <c r="DP73" s="50"/>
      <c r="DQ73" s="50"/>
      <c r="DR73" s="50"/>
      <c r="DS73" s="50"/>
      <c r="DT73" s="50"/>
      <c r="DU73" s="50"/>
      <c r="DV73" s="50"/>
      <c r="DW73" s="50"/>
      <c r="DX73" s="50"/>
      <c r="DY73" s="50"/>
      <c r="DZ73" s="50"/>
      <c r="EA73" s="50"/>
      <c r="EB73" s="50"/>
      <c r="EC73" s="50"/>
      <c r="ED73" s="50"/>
      <c r="EE73" s="50"/>
      <c r="EF73" s="50"/>
      <c r="EG73" s="50"/>
      <c r="EH73" s="50"/>
      <c r="EI73" s="50"/>
      <c r="EJ73" s="50"/>
      <c r="EK73" s="50"/>
      <c r="EL73" s="50"/>
      <c r="EM73" s="50"/>
      <c r="EN73" s="50"/>
      <c r="EO73" s="50"/>
      <c r="EP73" s="50"/>
      <c r="EQ73" s="50"/>
      <c r="ER73" s="50"/>
      <c r="ES73" s="50"/>
      <c r="ET73" s="50"/>
      <c r="EU73" s="50"/>
      <c r="EV73" s="50"/>
      <c r="EW73" s="50"/>
      <c r="EX73" s="50"/>
      <c r="EY73" s="50"/>
      <c r="EZ73" s="50"/>
      <c r="FA73" s="50"/>
      <c r="FB73" s="50"/>
      <c r="FC73" s="50"/>
      <c r="FD73" s="50"/>
      <c r="FE73" s="50"/>
    </row>
    <row r="74" spans="1:16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50"/>
      <c r="DJ74" s="50"/>
      <c r="DK74" s="50"/>
      <c r="DL74" s="50"/>
      <c r="DM74" s="50"/>
      <c r="DN74" s="50"/>
      <c r="DO74" s="50"/>
      <c r="DP74" s="50"/>
      <c r="DQ74" s="50"/>
      <c r="DR74" s="50"/>
      <c r="DS74" s="50"/>
      <c r="DT74" s="50"/>
      <c r="DU74" s="50"/>
      <c r="DV74" s="50"/>
      <c r="DW74" s="50"/>
      <c r="DX74" s="50"/>
      <c r="DY74" s="50"/>
      <c r="DZ74" s="50"/>
      <c r="EA74" s="50"/>
      <c r="EB74" s="50"/>
      <c r="EC74" s="50"/>
      <c r="ED74" s="50"/>
      <c r="EE74" s="50"/>
      <c r="EF74" s="50"/>
      <c r="EG74" s="50"/>
      <c r="EH74" s="50"/>
      <c r="EI74" s="50"/>
      <c r="EJ74" s="50"/>
      <c r="EK74" s="50"/>
      <c r="EL74" s="50"/>
      <c r="EM74" s="50"/>
      <c r="EN74" s="50"/>
      <c r="EO74" s="50"/>
      <c r="EP74" s="50"/>
      <c r="EQ74" s="50"/>
      <c r="ER74" s="50"/>
      <c r="ES74" s="50"/>
      <c r="ET74" s="50"/>
      <c r="EU74" s="50"/>
      <c r="EV74" s="50"/>
      <c r="EW74" s="50"/>
      <c r="EX74" s="50"/>
      <c r="EY74" s="50"/>
      <c r="EZ74" s="50"/>
      <c r="FA74" s="50"/>
      <c r="FB74" s="50"/>
      <c r="FC74" s="50"/>
      <c r="FD74" s="50"/>
      <c r="FE74" s="50"/>
    </row>
    <row r="75" spans="1:16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c r="CO75" s="50"/>
      <c r="CP75" s="50"/>
      <c r="CQ75" s="50"/>
      <c r="CR75" s="50"/>
      <c r="CS75" s="50"/>
      <c r="CT75" s="50"/>
      <c r="CU75" s="50"/>
      <c r="CV75" s="50"/>
      <c r="CW75" s="50"/>
      <c r="CX75" s="50"/>
      <c r="CY75" s="50"/>
      <c r="CZ75" s="50"/>
      <c r="DA75" s="50"/>
      <c r="DB75" s="50"/>
      <c r="DC75" s="50"/>
      <c r="DD75" s="50"/>
      <c r="DE75" s="50"/>
      <c r="DF75" s="50"/>
      <c r="DG75" s="50"/>
      <c r="DH75" s="50"/>
      <c r="DI75" s="50"/>
      <c r="DJ75" s="50"/>
      <c r="DK75" s="50"/>
      <c r="DL75" s="50"/>
      <c r="DM75" s="50"/>
      <c r="DN75" s="50"/>
      <c r="DO75" s="50"/>
      <c r="DP75" s="50"/>
      <c r="DQ75" s="50"/>
      <c r="DR75" s="50"/>
      <c r="DS75" s="50"/>
      <c r="DT75" s="50"/>
      <c r="DU75" s="50"/>
      <c r="DV75" s="50"/>
      <c r="DW75" s="50"/>
      <c r="DX75" s="50"/>
      <c r="DY75" s="50"/>
      <c r="DZ75" s="50"/>
      <c r="EA75" s="50"/>
      <c r="EB75" s="50"/>
      <c r="EC75" s="50"/>
      <c r="ED75" s="50"/>
      <c r="EE75" s="50"/>
      <c r="EF75" s="50"/>
      <c r="EG75" s="50"/>
      <c r="EH75" s="50"/>
      <c r="EI75" s="50"/>
      <c r="EJ75" s="50"/>
      <c r="EK75" s="50"/>
      <c r="EL75" s="50"/>
      <c r="EM75" s="50"/>
      <c r="EN75" s="50"/>
      <c r="EO75" s="50"/>
      <c r="EP75" s="50"/>
      <c r="EQ75" s="50"/>
      <c r="ER75" s="50"/>
      <c r="ES75" s="50"/>
      <c r="ET75" s="50"/>
      <c r="EU75" s="50"/>
      <c r="EV75" s="50"/>
      <c r="EW75" s="50"/>
      <c r="EX75" s="50"/>
      <c r="EY75" s="50"/>
      <c r="EZ75" s="50"/>
      <c r="FA75" s="50"/>
      <c r="FB75" s="50"/>
      <c r="FC75" s="50"/>
      <c r="FD75" s="50"/>
      <c r="FE75" s="50"/>
    </row>
    <row r="76" spans="1:16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50"/>
      <c r="DJ76" s="50"/>
      <c r="DK76" s="50"/>
      <c r="DL76" s="50"/>
      <c r="DM76" s="50"/>
      <c r="DN76" s="50"/>
      <c r="DO76" s="50"/>
      <c r="DP76" s="50"/>
      <c r="DQ76" s="50"/>
      <c r="DR76" s="50"/>
      <c r="DS76" s="50"/>
      <c r="DT76" s="50"/>
      <c r="DU76" s="50"/>
      <c r="DV76" s="50"/>
      <c r="DW76" s="50"/>
      <c r="DX76" s="50"/>
      <c r="DY76" s="50"/>
      <c r="DZ76" s="50"/>
      <c r="EA76" s="50"/>
      <c r="EB76" s="50"/>
      <c r="EC76" s="50"/>
      <c r="ED76" s="50"/>
      <c r="EE76" s="50"/>
      <c r="EF76" s="50"/>
      <c r="EG76" s="50"/>
      <c r="EH76" s="50"/>
      <c r="EI76" s="50"/>
      <c r="EJ76" s="50"/>
      <c r="EK76" s="50"/>
      <c r="EL76" s="50"/>
      <c r="EM76" s="50"/>
      <c r="EN76" s="50"/>
      <c r="EO76" s="50"/>
      <c r="EP76" s="50"/>
      <c r="EQ76" s="50"/>
      <c r="ER76" s="50"/>
      <c r="ES76" s="50"/>
      <c r="ET76" s="50"/>
      <c r="EU76" s="50"/>
      <c r="EV76" s="50"/>
      <c r="EW76" s="50"/>
      <c r="EX76" s="50"/>
      <c r="EY76" s="50"/>
      <c r="EZ76" s="50"/>
      <c r="FA76" s="50"/>
      <c r="FB76" s="50"/>
      <c r="FC76" s="50"/>
      <c r="FD76" s="50"/>
      <c r="FE76" s="50"/>
    </row>
    <row r="77" spans="1:16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c r="CO77" s="50"/>
      <c r="CP77" s="50"/>
      <c r="CQ77" s="50"/>
      <c r="CR77" s="50"/>
      <c r="CS77" s="50"/>
      <c r="CT77" s="50"/>
      <c r="CU77" s="50"/>
      <c r="CV77" s="50"/>
      <c r="CW77" s="50"/>
      <c r="CX77" s="50"/>
      <c r="CY77" s="50"/>
      <c r="CZ77" s="50"/>
      <c r="DA77" s="50"/>
      <c r="DB77" s="50"/>
      <c r="DC77" s="50"/>
      <c r="DD77" s="50"/>
      <c r="DE77" s="50"/>
      <c r="DF77" s="50"/>
      <c r="DG77" s="50"/>
      <c r="DH77" s="50"/>
      <c r="DI77" s="50"/>
      <c r="DJ77" s="50"/>
      <c r="DK77" s="50"/>
      <c r="DL77" s="50"/>
      <c r="DM77" s="50"/>
      <c r="DN77" s="50"/>
      <c r="DO77" s="50"/>
      <c r="DP77" s="50"/>
      <c r="DQ77" s="50"/>
      <c r="DR77" s="50"/>
      <c r="DS77" s="50"/>
      <c r="DT77" s="50"/>
      <c r="DU77" s="50"/>
      <c r="DV77" s="50"/>
      <c r="DW77" s="50"/>
      <c r="DX77" s="50"/>
      <c r="DY77" s="50"/>
      <c r="DZ77" s="50"/>
      <c r="EA77" s="50"/>
      <c r="EB77" s="50"/>
      <c r="EC77" s="50"/>
      <c r="ED77" s="50"/>
      <c r="EE77" s="50"/>
      <c r="EF77" s="50"/>
      <c r="EG77" s="50"/>
      <c r="EH77" s="50"/>
      <c r="EI77" s="50"/>
      <c r="EJ77" s="50"/>
      <c r="EK77" s="50"/>
      <c r="EL77" s="50"/>
      <c r="EM77" s="50"/>
      <c r="EN77" s="50"/>
      <c r="EO77" s="50"/>
      <c r="EP77" s="50"/>
      <c r="EQ77" s="50"/>
      <c r="ER77" s="50"/>
      <c r="ES77" s="50"/>
      <c r="ET77" s="50"/>
      <c r="EU77" s="50"/>
      <c r="EV77" s="50"/>
      <c r="EW77" s="50"/>
      <c r="EX77" s="50"/>
      <c r="EY77" s="50"/>
      <c r="EZ77" s="50"/>
      <c r="FA77" s="50"/>
      <c r="FB77" s="50"/>
      <c r="FC77" s="50"/>
      <c r="FD77" s="50"/>
      <c r="FE77" s="50"/>
    </row>
    <row r="78" spans="1:16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50"/>
      <c r="DJ78" s="50"/>
      <c r="DK78" s="50"/>
      <c r="DL78" s="50"/>
      <c r="DM78" s="50"/>
      <c r="DN78" s="50"/>
      <c r="DO78" s="50"/>
      <c r="DP78" s="50"/>
      <c r="DQ78" s="50"/>
      <c r="DR78" s="50"/>
      <c r="DS78" s="50"/>
      <c r="DT78" s="50"/>
      <c r="DU78" s="50"/>
      <c r="DV78" s="50"/>
      <c r="DW78" s="50"/>
      <c r="DX78" s="50"/>
      <c r="DY78" s="50"/>
      <c r="DZ78" s="50"/>
      <c r="EA78" s="50"/>
      <c r="EB78" s="50"/>
      <c r="EC78" s="50"/>
      <c r="ED78" s="50"/>
      <c r="EE78" s="50"/>
      <c r="EF78" s="50"/>
      <c r="EG78" s="50"/>
      <c r="EH78" s="50"/>
      <c r="EI78" s="50"/>
      <c r="EJ78" s="50"/>
      <c r="EK78" s="50"/>
      <c r="EL78" s="50"/>
      <c r="EM78" s="50"/>
      <c r="EN78" s="50"/>
      <c r="EO78" s="50"/>
      <c r="EP78" s="50"/>
      <c r="EQ78" s="50"/>
      <c r="ER78" s="50"/>
      <c r="ES78" s="50"/>
      <c r="ET78" s="50"/>
      <c r="EU78" s="50"/>
      <c r="EV78" s="50"/>
      <c r="EW78" s="50"/>
      <c r="EX78" s="50"/>
      <c r="EY78" s="50"/>
      <c r="EZ78" s="50"/>
      <c r="FA78" s="50"/>
      <c r="FB78" s="50"/>
      <c r="FC78" s="50"/>
      <c r="FD78" s="50"/>
      <c r="FE78" s="50"/>
    </row>
    <row r="79" spans="1:16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row>
    <row r="80" spans="1:16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row>
    <row r="81" spans="1:16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row>
    <row r="82" spans="1:16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row>
    <row r="83" spans="1:16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row>
    <row r="84" spans="1:16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row>
    <row r="85" spans="1:16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row>
    <row r="86" spans="1:16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row>
    <row r="87" spans="1:16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row>
    <row r="88" spans="1:16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row>
    <row r="89" spans="1:16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row>
    <row r="90" spans="1:16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row>
    <row r="91" spans="1:16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row>
    <row r="92" spans="1:16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row>
    <row r="93" spans="1:16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c r="DB93" s="50"/>
      <c r="DC93" s="50"/>
      <c r="DD93" s="50"/>
      <c r="DE93" s="50"/>
      <c r="DF93" s="50"/>
      <c r="DG93" s="50"/>
      <c r="DH93" s="50"/>
      <c r="DI93" s="50"/>
      <c r="DJ93" s="50"/>
      <c r="DK93" s="50"/>
      <c r="DL93" s="50"/>
      <c r="DM93" s="50"/>
      <c r="DN93" s="50"/>
      <c r="DO93" s="50"/>
      <c r="DP93" s="50"/>
      <c r="DQ93" s="50"/>
      <c r="DR93" s="50"/>
      <c r="DS93" s="50"/>
      <c r="DT93" s="50"/>
      <c r="DU93" s="50"/>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S93" s="50"/>
      <c r="ET93" s="50"/>
      <c r="EU93" s="50"/>
      <c r="EV93" s="50"/>
      <c r="EW93" s="50"/>
      <c r="EX93" s="50"/>
      <c r="EY93" s="50"/>
      <c r="EZ93" s="50"/>
      <c r="FA93" s="50"/>
      <c r="FB93" s="50"/>
      <c r="FC93" s="50"/>
      <c r="FD93" s="50"/>
      <c r="FE93" s="50"/>
    </row>
    <row r="94" spans="1:16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c r="DB94" s="50"/>
      <c r="DC94" s="50"/>
      <c r="DD94" s="50"/>
      <c r="DE94" s="50"/>
      <c r="DF94" s="50"/>
      <c r="DG94" s="50"/>
      <c r="DH94" s="50"/>
      <c r="DI94" s="50"/>
      <c r="DJ94" s="50"/>
      <c r="DK94" s="50"/>
      <c r="DL94" s="50"/>
      <c r="DM94" s="50"/>
      <c r="DN94" s="50"/>
      <c r="DO94" s="50"/>
      <c r="DP94" s="50"/>
      <c r="DQ94" s="50"/>
      <c r="DR94" s="50"/>
      <c r="DS94" s="50"/>
      <c r="DT94" s="50"/>
      <c r="DU94" s="50"/>
      <c r="DV94" s="50"/>
      <c r="DW94" s="50"/>
      <c r="DX94" s="50"/>
      <c r="DY94" s="50"/>
      <c r="DZ94" s="50"/>
      <c r="EA94" s="50"/>
      <c r="EB94" s="50"/>
      <c r="EC94" s="50"/>
      <c r="ED94" s="50"/>
      <c r="EE94" s="50"/>
      <c r="EF94" s="50"/>
      <c r="EG94" s="50"/>
      <c r="EH94" s="50"/>
      <c r="EI94" s="50"/>
      <c r="EJ94" s="50"/>
      <c r="EK94" s="50"/>
      <c r="EL94" s="50"/>
      <c r="EM94" s="50"/>
      <c r="EN94" s="50"/>
      <c r="EO94" s="50"/>
      <c r="EP94" s="50"/>
      <c r="EQ94" s="50"/>
      <c r="ER94" s="50"/>
      <c r="ES94" s="50"/>
      <c r="ET94" s="50"/>
      <c r="EU94" s="50"/>
      <c r="EV94" s="50"/>
      <c r="EW94" s="50"/>
      <c r="EX94" s="50"/>
      <c r="EY94" s="50"/>
      <c r="EZ94" s="50"/>
      <c r="FA94" s="50"/>
      <c r="FB94" s="50"/>
      <c r="FC94" s="50"/>
      <c r="FD94" s="50"/>
      <c r="FE94" s="50"/>
    </row>
    <row r="95" spans="1:16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row>
    <row r="96" spans="1:16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row>
    <row r="97" spans="1:16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row>
    <row r="98" spans="1:16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row>
    <row r="99" spans="1:16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row>
    <row r="100" spans="1:16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row>
    <row r="101" spans="1:16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row>
    <row r="102" spans="1:16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row>
    <row r="103" spans="1:16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row>
    <row r="104" spans="1:16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50"/>
      <c r="DC104" s="50"/>
      <c r="DD104" s="50"/>
      <c r="DE104" s="50"/>
      <c r="DF104" s="50"/>
      <c r="DG104" s="50"/>
      <c r="DH104" s="50"/>
      <c r="DI104" s="50"/>
      <c r="DJ104" s="50"/>
      <c r="DK104" s="50"/>
      <c r="DL104" s="50"/>
      <c r="DM104" s="50"/>
      <c r="DN104" s="50"/>
      <c r="DO104" s="50"/>
      <c r="DP104" s="50"/>
      <c r="DQ104" s="50"/>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0"/>
      <c r="EX104" s="50"/>
      <c r="EY104" s="50"/>
      <c r="EZ104" s="50"/>
      <c r="FA104" s="50"/>
      <c r="FB104" s="50"/>
      <c r="FC104" s="50"/>
      <c r="FD104" s="50"/>
      <c r="FE104" s="50"/>
    </row>
    <row r="105" spans="1:16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row>
    <row r="106" spans="1:16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50"/>
      <c r="DC106" s="50"/>
      <c r="DD106" s="50"/>
      <c r="DE106" s="50"/>
      <c r="DF106" s="50"/>
      <c r="DG106" s="50"/>
      <c r="DH106" s="50"/>
      <c r="DI106" s="50"/>
      <c r="DJ106" s="50"/>
      <c r="DK106" s="50"/>
      <c r="DL106" s="50"/>
      <c r="DM106" s="50"/>
      <c r="DN106" s="50"/>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c r="EL106" s="50"/>
      <c r="EM106" s="50"/>
      <c r="EN106" s="50"/>
      <c r="EO106" s="50"/>
      <c r="EP106" s="50"/>
      <c r="EQ106" s="50"/>
      <c r="ER106" s="50"/>
      <c r="ES106" s="50"/>
      <c r="ET106" s="50"/>
      <c r="EU106" s="50"/>
      <c r="EV106" s="50"/>
      <c r="EW106" s="50"/>
      <c r="EX106" s="50"/>
      <c r="EY106" s="50"/>
      <c r="EZ106" s="50"/>
      <c r="FA106" s="50"/>
      <c r="FB106" s="50"/>
      <c r="FC106" s="50"/>
      <c r="FD106" s="50"/>
      <c r="FE106" s="50"/>
    </row>
    <row r="107" spans="1:16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row>
    <row r="108" spans="1:16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row>
    <row r="109" spans="1:16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row>
    <row r="110" spans="1:16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row>
    <row r="111" spans="1:16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row>
    <row r="112" spans="1:16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row>
    <row r="113" spans="1:16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row>
    <row r="114" spans="1:16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row>
    <row r="115" spans="1:16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row>
    <row r="116" spans="1:16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row>
    <row r="117" spans="1:16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c r="DB117" s="50"/>
      <c r="DC117" s="50"/>
      <c r="DD117" s="50"/>
      <c r="DE117" s="50"/>
      <c r="DF117" s="50"/>
      <c r="DG117" s="50"/>
      <c r="DH117" s="50"/>
      <c r="DI117" s="50"/>
      <c r="DJ117" s="50"/>
      <c r="DK117" s="50"/>
      <c r="DL117" s="50"/>
      <c r="DM117" s="50"/>
      <c r="DN117" s="50"/>
      <c r="DO117" s="50"/>
      <c r="DP117" s="50"/>
      <c r="DQ117" s="50"/>
      <c r="DR117" s="50"/>
      <c r="DS117" s="50"/>
      <c r="DT117" s="50"/>
      <c r="DU117" s="50"/>
      <c r="DV117" s="50"/>
      <c r="DW117" s="50"/>
      <c r="DX117" s="50"/>
      <c r="DY117" s="50"/>
      <c r="DZ117" s="50"/>
      <c r="EA117" s="50"/>
      <c r="EB117" s="50"/>
      <c r="EC117" s="50"/>
      <c r="ED117" s="50"/>
      <c r="EE117" s="50"/>
      <c r="EF117" s="50"/>
      <c r="EG117" s="50"/>
      <c r="EH117" s="50"/>
      <c r="EI117" s="50"/>
      <c r="EJ117" s="50"/>
      <c r="EK117" s="50"/>
      <c r="EL117" s="50"/>
      <c r="EM117" s="50"/>
      <c r="EN117" s="50"/>
      <c r="EO117" s="50"/>
      <c r="EP117" s="50"/>
      <c r="EQ117" s="50"/>
      <c r="ER117" s="50"/>
      <c r="ES117" s="50"/>
      <c r="ET117" s="50"/>
      <c r="EU117" s="50"/>
      <c r="EV117" s="50"/>
      <c r="EW117" s="50"/>
      <c r="EX117" s="50"/>
      <c r="EY117" s="50"/>
      <c r="EZ117" s="50"/>
      <c r="FA117" s="50"/>
      <c r="FB117" s="50"/>
      <c r="FC117" s="50"/>
      <c r="FD117" s="50"/>
      <c r="FE117" s="50"/>
    </row>
    <row r="118" spans="1:16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row>
    <row r="119" spans="1:16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50"/>
      <c r="DJ119" s="50"/>
      <c r="DK119" s="50"/>
      <c r="DL119" s="50"/>
      <c r="DM119" s="50"/>
      <c r="DN119" s="50"/>
      <c r="DO119" s="50"/>
      <c r="DP119" s="50"/>
      <c r="DQ119" s="50"/>
      <c r="DR119" s="50"/>
      <c r="DS119" s="50"/>
      <c r="DT119" s="50"/>
      <c r="DU119" s="50"/>
      <c r="DV119" s="50"/>
      <c r="DW119" s="50"/>
      <c r="DX119" s="50"/>
      <c r="DY119" s="50"/>
      <c r="DZ119" s="50"/>
      <c r="EA119" s="50"/>
      <c r="EB119" s="50"/>
      <c r="EC119" s="50"/>
      <c r="ED119" s="50"/>
      <c r="EE119" s="50"/>
      <c r="EF119" s="50"/>
      <c r="EG119" s="50"/>
      <c r="EH119" s="50"/>
      <c r="EI119" s="50"/>
      <c r="EJ119" s="50"/>
      <c r="EK119" s="50"/>
      <c r="EL119" s="50"/>
      <c r="EM119" s="50"/>
      <c r="EN119" s="50"/>
      <c r="EO119" s="50"/>
      <c r="EP119" s="50"/>
      <c r="EQ119" s="50"/>
      <c r="ER119" s="50"/>
      <c r="ES119" s="50"/>
      <c r="ET119" s="50"/>
      <c r="EU119" s="50"/>
      <c r="EV119" s="50"/>
      <c r="EW119" s="50"/>
      <c r="EX119" s="50"/>
      <c r="EY119" s="50"/>
      <c r="EZ119" s="50"/>
      <c r="FA119" s="50"/>
      <c r="FB119" s="50"/>
      <c r="FC119" s="50"/>
      <c r="FD119" s="50"/>
      <c r="FE119" s="50"/>
    </row>
    <row r="120" spans="1:16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row>
    <row r="121" spans="1:16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c r="CX121" s="50"/>
      <c r="CY121" s="50"/>
      <c r="CZ121" s="50"/>
      <c r="DA121" s="50"/>
      <c r="DB121" s="50"/>
      <c r="DC121" s="50"/>
      <c r="DD121" s="50"/>
      <c r="DE121" s="50"/>
      <c r="DF121" s="50"/>
      <c r="DG121" s="50"/>
      <c r="DH121" s="50"/>
      <c r="DI121" s="50"/>
      <c r="DJ121" s="50"/>
      <c r="DK121" s="50"/>
      <c r="DL121" s="50"/>
      <c r="DM121" s="50"/>
      <c r="DN121" s="50"/>
      <c r="DO121" s="50"/>
      <c r="DP121" s="50"/>
      <c r="DQ121" s="50"/>
      <c r="DR121" s="50"/>
      <c r="DS121" s="50"/>
      <c r="DT121" s="50"/>
      <c r="DU121" s="50"/>
      <c r="DV121" s="50"/>
      <c r="DW121" s="50"/>
      <c r="DX121" s="50"/>
      <c r="DY121" s="50"/>
      <c r="DZ121" s="50"/>
      <c r="EA121" s="50"/>
      <c r="EB121" s="50"/>
      <c r="EC121" s="50"/>
      <c r="ED121" s="50"/>
      <c r="EE121" s="50"/>
      <c r="EF121" s="50"/>
      <c r="EG121" s="50"/>
      <c r="EH121" s="50"/>
      <c r="EI121" s="50"/>
      <c r="EJ121" s="50"/>
      <c r="EK121" s="50"/>
      <c r="EL121" s="50"/>
      <c r="EM121" s="50"/>
      <c r="EN121" s="50"/>
      <c r="EO121" s="50"/>
      <c r="EP121" s="50"/>
      <c r="EQ121" s="50"/>
      <c r="ER121" s="50"/>
      <c r="ES121" s="50"/>
      <c r="ET121" s="50"/>
      <c r="EU121" s="50"/>
      <c r="EV121" s="50"/>
      <c r="EW121" s="50"/>
      <c r="EX121" s="50"/>
      <c r="EY121" s="50"/>
      <c r="EZ121" s="50"/>
      <c r="FA121" s="50"/>
      <c r="FB121" s="50"/>
      <c r="FC121" s="50"/>
      <c r="FD121" s="50"/>
      <c r="FE121" s="50"/>
    </row>
    <row r="122" spans="1:16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50"/>
      <c r="DJ122" s="50"/>
      <c r="DK122" s="50"/>
      <c r="DL122" s="50"/>
      <c r="DM122" s="50"/>
      <c r="DN122" s="50"/>
      <c r="DO122" s="50"/>
      <c r="DP122" s="50"/>
      <c r="DQ122" s="50"/>
      <c r="DR122" s="50"/>
      <c r="DS122" s="50"/>
      <c r="DT122" s="50"/>
      <c r="DU122" s="50"/>
      <c r="DV122" s="50"/>
      <c r="DW122" s="50"/>
      <c r="DX122" s="50"/>
      <c r="DY122" s="50"/>
      <c r="DZ122" s="50"/>
      <c r="EA122" s="50"/>
      <c r="EB122" s="50"/>
      <c r="EC122" s="50"/>
      <c r="ED122" s="50"/>
      <c r="EE122" s="50"/>
      <c r="EF122" s="50"/>
      <c r="EG122" s="50"/>
      <c r="EH122" s="50"/>
      <c r="EI122" s="50"/>
      <c r="EJ122" s="50"/>
      <c r="EK122" s="50"/>
      <c r="EL122" s="50"/>
      <c r="EM122" s="50"/>
      <c r="EN122" s="50"/>
      <c r="EO122" s="50"/>
      <c r="EP122" s="50"/>
      <c r="EQ122" s="50"/>
      <c r="ER122" s="50"/>
      <c r="ES122" s="50"/>
      <c r="ET122" s="50"/>
      <c r="EU122" s="50"/>
      <c r="EV122" s="50"/>
      <c r="EW122" s="50"/>
      <c r="EX122" s="50"/>
      <c r="EY122" s="50"/>
      <c r="EZ122" s="50"/>
      <c r="FA122" s="50"/>
      <c r="FB122" s="50"/>
      <c r="FC122" s="50"/>
      <c r="FD122" s="50"/>
      <c r="FE122" s="50"/>
    </row>
    <row r="123" spans="1:16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row>
    <row r="124" spans="1:16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c r="CR124" s="50"/>
      <c r="CS124" s="50"/>
      <c r="CT124" s="50"/>
      <c r="CU124" s="50"/>
      <c r="CV124" s="50"/>
      <c r="CW124" s="50"/>
      <c r="CX124" s="50"/>
      <c r="CY124" s="50"/>
      <c r="CZ124" s="50"/>
      <c r="DA124" s="50"/>
      <c r="DB124" s="50"/>
      <c r="DC124" s="50"/>
      <c r="DD124" s="50"/>
      <c r="DE124" s="50"/>
      <c r="DF124" s="50"/>
      <c r="DG124" s="50"/>
      <c r="DH124" s="50"/>
      <c r="DI124" s="50"/>
      <c r="DJ124" s="50"/>
      <c r="DK124" s="50"/>
      <c r="DL124" s="50"/>
      <c r="DM124" s="50"/>
      <c r="DN124" s="50"/>
      <c r="DO124" s="50"/>
      <c r="DP124" s="50"/>
      <c r="DQ124" s="50"/>
      <c r="DR124" s="50"/>
      <c r="DS124" s="50"/>
      <c r="DT124" s="50"/>
      <c r="DU124" s="50"/>
      <c r="DV124" s="50"/>
      <c r="DW124" s="50"/>
      <c r="DX124" s="50"/>
      <c r="DY124" s="50"/>
      <c r="DZ124" s="50"/>
      <c r="EA124" s="50"/>
      <c r="EB124" s="50"/>
      <c r="EC124" s="50"/>
      <c r="ED124" s="50"/>
      <c r="EE124" s="50"/>
      <c r="EF124" s="50"/>
      <c r="EG124" s="50"/>
      <c r="EH124" s="50"/>
      <c r="EI124" s="50"/>
      <c r="EJ124" s="50"/>
      <c r="EK124" s="50"/>
      <c r="EL124" s="50"/>
      <c r="EM124" s="50"/>
      <c r="EN124" s="50"/>
      <c r="EO124" s="50"/>
      <c r="EP124" s="50"/>
      <c r="EQ124" s="50"/>
      <c r="ER124" s="50"/>
      <c r="ES124" s="50"/>
      <c r="ET124" s="50"/>
      <c r="EU124" s="50"/>
      <c r="EV124" s="50"/>
      <c r="EW124" s="50"/>
      <c r="EX124" s="50"/>
      <c r="EY124" s="50"/>
      <c r="EZ124" s="50"/>
      <c r="FA124" s="50"/>
      <c r="FB124" s="50"/>
      <c r="FC124" s="50"/>
      <c r="FD124" s="50"/>
      <c r="FE124" s="50"/>
    </row>
    <row r="125" spans="1:16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50"/>
      <c r="DJ125" s="50"/>
      <c r="DK125" s="50"/>
      <c r="DL125" s="50"/>
      <c r="DM125" s="50"/>
      <c r="DN125" s="50"/>
      <c r="DO125" s="50"/>
      <c r="DP125" s="50"/>
      <c r="DQ125" s="50"/>
      <c r="DR125" s="50"/>
      <c r="DS125" s="50"/>
      <c r="DT125" s="50"/>
      <c r="DU125" s="50"/>
      <c r="DV125" s="50"/>
      <c r="DW125" s="50"/>
      <c r="DX125" s="50"/>
      <c r="DY125" s="50"/>
      <c r="DZ125" s="50"/>
      <c r="EA125" s="50"/>
      <c r="EB125" s="50"/>
      <c r="EC125" s="50"/>
      <c r="ED125" s="50"/>
      <c r="EE125" s="50"/>
      <c r="EF125" s="50"/>
      <c r="EG125" s="50"/>
      <c r="EH125" s="50"/>
      <c r="EI125" s="50"/>
      <c r="EJ125" s="50"/>
      <c r="EK125" s="50"/>
      <c r="EL125" s="50"/>
      <c r="EM125" s="50"/>
      <c r="EN125" s="50"/>
      <c r="EO125" s="50"/>
      <c r="EP125" s="50"/>
      <c r="EQ125" s="50"/>
      <c r="ER125" s="50"/>
      <c r="ES125" s="50"/>
      <c r="ET125" s="50"/>
      <c r="EU125" s="50"/>
      <c r="EV125" s="50"/>
      <c r="EW125" s="50"/>
      <c r="EX125" s="50"/>
      <c r="EY125" s="50"/>
      <c r="EZ125" s="50"/>
      <c r="FA125" s="50"/>
      <c r="FB125" s="50"/>
      <c r="FC125" s="50"/>
      <c r="FD125" s="50"/>
      <c r="FE125" s="50"/>
    </row>
    <row r="126" spans="1:16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c r="DB126" s="50"/>
      <c r="DC126" s="50"/>
      <c r="DD126" s="50"/>
      <c r="DE126" s="50"/>
      <c r="DF126" s="50"/>
      <c r="DG126" s="50"/>
      <c r="DH126" s="50"/>
      <c r="DI126" s="50"/>
      <c r="DJ126" s="50"/>
      <c r="DK126" s="50"/>
      <c r="DL126" s="50"/>
      <c r="DM126" s="50"/>
      <c r="DN126" s="50"/>
      <c r="DO126" s="50"/>
      <c r="DP126" s="50"/>
      <c r="DQ126" s="50"/>
      <c r="DR126" s="50"/>
      <c r="DS126" s="50"/>
      <c r="DT126" s="50"/>
      <c r="DU126" s="50"/>
      <c r="DV126" s="50"/>
      <c r="DW126" s="50"/>
      <c r="DX126" s="50"/>
      <c r="DY126" s="50"/>
      <c r="DZ126" s="50"/>
      <c r="EA126" s="50"/>
      <c r="EB126" s="50"/>
      <c r="EC126" s="50"/>
      <c r="ED126" s="50"/>
      <c r="EE126" s="50"/>
      <c r="EF126" s="50"/>
      <c r="EG126" s="50"/>
      <c r="EH126" s="50"/>
      <c r="EI126" s="50"/>
      <c r="EJ126" s="50"/>
      <c r="EK126" s="50"/>
      <c r="EL126" s="50"/>
      <c r="EM126" s="50"/>
      <c r="EN126" s="50"/>
      <c r="EO126" s="50"/>
      <c r="EP126" s="50"/>
      <c r="EQ126" s="50"/>
      <c r="ER126" s="50"/>
      <c r="ES126" s="50"/>
      <c r="ET126" s="50"/>
      <c r="EU126" s="50"/>
      <c r="EV126" s="50"/>
      <c r="EW126" s="50"/>
      <c r="EX126" s="50"/>
      <c r="EY126" s="50"/>
      <c r="EZ126" s="50"/>
      <c r="FA126" s="50"/>
      <c r="FB126" s="50"/>
      <c r="FC126" s="50"/>
      <c r="FD126" s="50"/>
      <c r="FE126" s="50"/>
    </row>
    <row r="127" spans="1:16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50"/>
      <c r="DJ127" s="50"/>
      <c r="DK127" s="50"/>
      <c r="DL127" s="50"/>
      <c r="DM127" s="50"/>
      <c r="DN127" s="50"/>
      <c r="DO127" s="50"/>
      <c r="DP127" s="50"/>
      <c r="DQ127" s="50"/>
      <c r="DR127" s="50"/>
      <c r="DS127" s="50"/>
      <c r="DT127" s="50"/>
      <c r="DU127" s="50"/>
      <c r="DV127" s="50"/>
      <c r="DW127" s="50"/>
      <c r="DX127" s="50"/>
      <c r="DY127" s="50"/>
      <c r="DZ127" s="50"/>
      <c r="EA127" s="50"/>
      <c r="EB127" s="50"/>
      <c r="EC127" s="50"/>
      <c r="ED127" s="50"/>
      <c r="EE127" s="50"/>
      <c r="EF127" s="50"/>
      <c r="EG127" s="50"/>
      <c r="EH127" s="50"/>
      <c r="EI127" s="50"/>
      <c r="EJ127" s="50"/>
      <c r="EK127" s="50"/>
      <c r="EL127" s="50"/>
      <c r="EM127" s="50"/>
      <c r="EN127" s="50"/>
      <c r="EO127" s="50"/>
      <c r="EP127" s="50"/>
      <c r="EQ127" s="50"/>
      <c r="ER127" s="50"/>
      <c r="ES127" s="50"/>
      <c r="ET127" s="50"/>
      <c r="EU127" s="50"/>
      <c r="EV127" s="50"/>
      <c r="EW127" s="50"/>
      <c r="EX127" s="50"/>
      <c r="EY127" s="50"/>
      <c r="EZ127" s="50"/>
      <c r="FA127" s="50"/>
      <c r="FB127" s="50"/>
      <c r="FC127" s="50"/>
      <c r="FD127" s="50"/>
      <c r="FE127" s="50"/>
    </row>
    <row r="128" spans="1:16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row>
    <row r="129" spans="1:16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row>
    <row r="130" spans="1:16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row>
    <row r="131" spans="1:16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row>
    <row r="132" spans="1:16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row>
    <row r="133" spans="1:16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row>
    <row r="134" spans="1:16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row>
    <row r="135" spans="1:16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row>
    <row r="136" spans="1:16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c r="CR136" s="50"/>
      <c r="CS136" s="50"/>
      <c r="CT136" s="50"/>
      <c r="CU136" s="50"/>
      <c r="CV136" s="50"/>
      <c r="CW136" s="50"/>
      <c r="CX136" s="50"/>
      <c r="CY136" s="50"/>
      <c r="CZ136" s="50"/>
      <c r="DA136" s="50"/>
      <c r="DB136" s="50"/>
      <c r="DC136" s="50"/>
      <c r="DD136" s="50"/>
      <c r="DE136" s="50"/>
      <c r="DF136" s="50"/>
      <c r="DG136" s="50"/>
      <c r="DH136" s="50"/>
      <c r="DI136" s="50"/>
      <c r="DJ136" s="50"/>
      <c r="DK136" s="50"/>
      <c r="DL136" s="50"/>
      <c r="DM136" s="50"/>
      <c r="DN136" s="50"/>
      <c r="DO136" s="50"/>
      <c r="DP136" s="50"/>
      <c r="DQ136" s="50"/>
      <c r="DR136" s="50"/>
      <c r="DS136" s="50"/>
      <c r="DT136" s="50"/>
      <c r="DU136" s="50"/>
      <c r="DV136" s="50"/>
      <c r="DW136" s="50"/>
      <c r="DX136" s="50"/>
      <c r="DY136" s="50"/>
      <c r="DZ136" s="50"/>
      <c r="EA136" s="50"/>
      <c r="EB136" s="50"/>
      <c r="EC136" s="50"/>
      <c r="ED136" s="50"/>
      <c r="EE136" s="50"/>
      <c r="EF136" s="50"/>
      <c r="EG136" s="50"/>
      <c r="EH136" s="50"/>
      <c r="EI136" s="50"/>
      <c r="EJ136" s="50"/>
      <c r="EK136" s="50"/>
      <c r="EL136" s="50"/>
      <c r="EM136" s="50"/>
      <c r="EN136" s="50"/>
      <c r="EO136" s="50"/>
      <c r="EP136" s="50"/>
      <c r="EQ136" s="50"/>
      <c r="ER136" s="50"/>
      <c r="ES136" s="50"/>
      <c r="ET136" s="50"/>
      <c r="EU136" s="50"/>
      <c r="EV136" s="50"/>
      <c r="EW136" s="50"/>
      <c r="EX136" s="50"/>
      <c r="EY136" s="50"/>
      <c r="EZ136" s="50"/>
      <c r="FA136" s="50"/>
      <c r="FB136" s="50"/>
      <c r="FC136" s="50"/>
      <c r="FD136" s="50"/>
      <c r="FE136" s="50"/>
    </row>
    <row r="137" spans="1:16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50"/>
      <c r="DJ137" s="50"/>
      <c r="DK137" s="50"/>
      <c r="DL137" s="50"/>
      <c r="DM137" s="50"/>
      <c r="DN137" s="50"/>
      <c r="DO137" s="50"/>
      <c r="DP137" s="50"/>
      <c r="DQ137" s="50"/>
      <c r="DR137" s="50"/>
      <c r="DS137" s="50"/>
      <c r="DT137" s="50"/>
      <c r="DU137" s="50"/>
      <c r="DV137" s="50"/>
      <c r="DW137" s="50"/>
      <c r="DX137" s="50"/>
      <c r="DY137" s="50"/>
      <c r="DZ137" s="50"/>
      <c r="EA137" s="50"/>
      <c r="EB137" s="50"/>
      <c r="EC137" s="50"/>
      <c r="ED137" s="50"/>
      <c r="EE137" s="50"/>
      <c r="EF137" s="50"/>
      <c r="EG137" s="50"/>
      <c r="EH137" s="50"/>
      <c r="EI137" s="50"/>
      <c r="EJ137" s="50"/>
      <c r="EK137" s="50"/>
      <c r="EL137" s="50"/>
      <c r="EM137" s="50"/>
      <c r="EN137" s="50"/>
      <c r="EO137" s="50"/>
      <c r="EP137" s="50"/>
      <c r="EQ137" s="50"/>
      <c r="ER137" s="50"/>
      <c r="ES137" s="50"/>
      <c r="ET137" s="50"/>
      <c r="EU137" s="50"/>
      <c r="EV137" s="50"/>
      <c r="EW137" s="50"/>
      <c r="EX137" s="50"/>
      <c r="EY137" s="50"/>
      <c r="EZ137" s="50"/>
      <c r="FA137" s="50"/>
      <c r="FB137" s="50"/>
      <c r="FC137" s="50"/>
      <c r="FD137" s="50"/>
      <c r="FE137" s="50"/>
    </row>
    <row r="138" spans="1:16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c r="CR138" s="50"/>
      <c r="CS138" s="50"/>
      <c r="CT138" s="50"/>
      <c r="CU138" s="50"/>
      <c r="CV138" s="50"/>
      <c r="CW138" s="50"/>
      <c r="CX138" s="50"/>
      <c r="CY138" s="50"/>
      <c r="CZ138" s="50"/>
      <c r="DA138" s="50"/>
      <c r="DB138" s="50"/>
      <c r="DC138" s="50"/>
      <c r="DD138" s="50"/>
      <c r="DE138" s="50"/>
      <c r="DF138" s="50"/>
      <c r="DG138" s="50"/>
      <c r="DH138" s="50"/>
      <c r="DI138" s="50"/>
      <c r="DJ138" s="50"/>
      <c r="DK138" s="50"/>
      <c r="DL138" s="50"/>
      <c r="DM138" s="50"/>
      <c r="DN138" s="50"/>
      <c r="DO138" s="50"/>
      <c r="DP138" s="50"/>
      <c r="DQ138" s="50"/>
      <c r="DR138" s="50"/>
      <c r="DS138" s="50"/>
      <c r="DT138" s="50"/>
      <c r="DU138" s="50"/>
      <c r="DV138" s="50"/>
      <c r="DW138" s="50"/>
      <c r="DX138" s="50"/>
      <c r="DY138" s="50"/>
      <c r="DZ138" s="50"/>
      <c r="EA138" s="50"/>
      <c r="EB138" s="50"/>
      <c r="EC138" s="50"/>
      <c r="ED138" s="50"/>
      <c r="EE138" s="50"/>
      <c r="EF138" s="50"/>
      <c r="EG138" s="50"/>
      <c r="EH138" s="50"/>
      <c r="EI138" s="50"/>
      <c r="EJ138" s="50"/>
      <c r="EK138" s="50"/>
      <c r="EL138" s="50"/>
      <c r="EM138" s="50"/>
      <c r="EN138" s="50"/>
      <c r="EO138" s="50"/>
      <c r="EP138" s="50"/>
      <c r="EQ138" s="50"/>
      <c r="ER138" s="50"/>
      <c r="ES138" s="50"/>
      <c r="ET138" s="50"/>
      <c r="EU138" s="50"/>
      <c r="EV138" s="50"/>
      <c r="EW138" s="50"/>
      <c r="EX138" s="50"/>
      <c r="EY138" s="50"/>
      <c r="EZ138" s="50"/>
      <c r="FA138" s="50"/>
      <c r="FB138" s="50"/>
      <c r="FC138" s="50"/>
      <c r="FD138" s="50"/>
      <c r="FE138" s="50"/>
    </row>
    <row r="139" spans="1:16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c r="CO139" s="50"/>
      <c r="CP139" s="50"/>
      <c r="CQ139" s="50"/>
      <c r="CR139" s="50"/>
      <c r="CS139" s="50"/>
      <c r="CT139" s="50"/>
      <c r="CU139" s="50"/>
      <c r="CV139" s="50"/>
      <c r="CW139" s="50"/>
      <c r="CX139" s="50"/>
      <c r="CY139" s="50"/>
      <c r="CZ139" s="50"/>
      <c r="DA139" s="50"/>
      <c r="DB139" s="50"/>
      <c r="DC139" s="50"/>
      <c r="DD139" s="50"/>
      <c r="DE139" s="50"/>
      <c r="DF139" s="50"/>
      <c r="DG139" s="50"/>
      <c r="DH139" s="50"/>
      <c r="DI139" s="50"/>
      <c r="DJ139" s="50"/>
      <c r="DK139" s="50"/>
      <c r="DL139" s="50"/>
      <c r="DM139" s="50"/>
      <c r="DN139" s="50"/>
      <c r="DO139" s="50"/>
      <c r="DP139" s="50"/>
      <c r="DQ139" s="50"/>
      <c r="DR139" s="50"/>
      <c r="DS139" s="50"/>
      <c r="DT139" s="50"/>
      <c r="DU139" s="50"/>
      <c r="DV139" s="50"/>
      <c r="DW139" s="50"/>
      <c r="DX139" s="50"/>
      <c r="DY139" s="50"/>
      <c r="DZ139" s="50"/>
      <c r="EA139" s="50"/>
      <c r="EB139" s="50"/>
      <c r="EC139" s="50"/>
      <c r="ED139" s="50"/>
      <c r="EE139" s="50"/>
      <c r="EF139" s="50"/>
      <c r="EG139" s="50"/>
      <c r="EH139" s="50"/>
      <c r="EI139" s="50"/>
      <c r="EJ139" s="50"/>
      <c r="EK139" s="50"/>
      <c r="EL139" s="50"/>
      <c r="EM139" s="50"/>
      <c r="EN139" s="50"/>
      <c r="EO139" s="50"/>
      <c r="EP139" s="50"/>
      <c r="EQ139" s="50"/>
      <c r="ER139" s="50"/>
      <c r="ES139" s="50"/>
      <c r="ET139" s="50"/>
      <c r="EU139" s="50"/>
      <c r="EV139" s="50"/>
      <c r="EW139" s="50"/>
      <c r="EX139" s="50"/>
      <c r="EY139" s="50"/>
      <c r="EZ139" s="50"/>
      <c r="FA139" s="50"/>
      <c r="FB139" s="50"/>
      <c r="FC139" s="50"/>
      <c r="FD139" s="50"/>
      <c r="FE139" s="50"/>
    </row>
    <row r="140" spans="1:16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50"/>
      <c r="DJ140" s="50"/>
      <c r="DK140" s="50"/>
      <c r="DL140" s="50"/>
      <c r="DM140" s="50"/>
      <c r="DN140" s="50"/>
      <c r="DO140" s="50"/>
      <c r="DP140" s="50"/>
      <c r="DQ140" s="50"/>
      <c r="DR140" s="50"/>
      <c r="DS140" s="50"/>
      <c r="DT140" s="50"/>
      <c r="DU140" s="50"/>
      <c r="DV140" s="50"/>
      <c r="DW140" s="50"/>
      <c r="DX140" s="50"/>
      <c r="DY140" s="50"/>
      <c r="DZ140" s="50"/>
      <c r="EA140" s="50"/>
      <c r="EB140" s="50"/>
      <c r="EC140" s="50"/>
      <c r="ED140" s="50"/>
      <c r="EE140" s="50"/>
      <c r="EF140" s="50"/>
      <c r="EG140" s="50"/>
      <c r="EH140" s="50"/>
      <c r="EI140" s="50"/>
      <c r="EJ140" s="50"/>
      <c r="EK140" s="50"/>
      <c r="EL140" s="50"/>
      <c r="EM140" s="50"/>
      <c r="EN140" s="50"/>
      <c r="EO140" s="50"/>
      <c r="EP140" s="50"/>
      <c r="EQ140" s="50"/>
      <c r="ER140" s="50"/>
      <c r="ES140" s="50"/>
      <c r="ET140" s="50"/>
      <c r="EU140" s="50"/>
      <c r="EV140" s="50"/>
      <c r="EW140" s="50"/>
      <c r="EX140" s="50"/>
      <c r="EY140" s="50"/>
      <c r="EZ140" s="50"/>
      <c r="FA140" s="50"/>
      <c r="FB140" s="50"/>
      <c r="FC140" s="50"/>
      <c r="FD140" s="50"/>
      <c r="FE140" s="50"/>
    </row>
    <row r="141" spans="1:16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c r="CR141" s="50"/>
      <c r="CS141" s="50"/>
      <c r="CT141" s="50"/>
      <c r="CU141" s="50"/>
      <c r="CV141" s="50"/>
      <c r="CW141" s="50"/>
      <c r="CX141" s="50"/>
      <c r="CY141" s="50"/>
      <c r="CZ141" s="50"/>
      <c r="DA141" s="50"/>
      <c r="DB141" s="50"/>
      <c r="DC141" s="50"/>
      <c r="DD141" s="50"/>
      <c r="DE141" s="50"/>
      <c r="DF141" s="50"/>
      <c r="DG141" s="50"/>
      <c r="DH141" s="50"/>
      <c r="DI141" s="50"/>
      <c r="DJ141" s="50"/>
      <c r="DK141" s="50"/>
      <c r="DL141" s="50"/>
      <c r="DM141" s="50"/>
      <c r="DN141" s="50"/>
      <c r="DO141" s="50"/>
      <c r="DP141" s="50"/>
      <c r="DQ141" s="50"/>
      <c r="DR141" s="50"/>
      <c r="DS141" s="50"/>
      <c r="DT141" s="50"/>
      <c r="DU141" s="50"/>
      <c r="DV141" s="50"/>
      <c r="DW141" s="50"/>
      <c r="DX141" s="50"/>
      <c r="DY141" s="50"/>
      <c r="DZ141" s="50"/>
      <c r="EA141" s="50"/>
      <c r="EB141" s="50"/>
      <c r="EC141" s="50"/>
      <c r="ED141" s="50"/>
      <c r="EE141" s="50"/>
      <c r="EF141" s="50"/>
      <c r="EG141" s="50"/>
      <c r="EH141" s="50"/>
      <c r="EI141" s="50"/>
      <c r="EJ141" s="50"/>
      <c r="EK141" s="50"/>
      <c r="EL141" s="50"/>
      <c r="EM141" s="50"/>
      <c r="EN141" s="50"/>
      <c r="EO141" s="50"/>
      <c r="EP141" s="50"/>
      <c r="EQ141" s="50"/>
      <c r="ER141" s="50"/>
      <c r="ES141" s="50"/>
      <c r="ET141" s="50"/>
      <c r="EU141" s="50"/>
      <c r="EV141" s="50"/>
      <c r="EW141" s="50"/>
      <c r="EX141" s="50"/>
      <c r="EY141" s="50"/>
      <c r="EZ141" s="50"/>
      <c r="FA141" s="50"/>
      <c r="FB141" s="50"/>
      <c r="FC141" s="50"/>
      <c r="FD141" s="50"/>
      <c r="FE141" s="50"/>
    </row>
    <row r="142" spans="1:16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c r="CO142" s="50"/>
      <c r="CP142" s="50"/>
      <c r="CQ142" s="50"/>
      <c r="CR142" s="50"/>
      <c r="CS142" s="50"/>
      <c r="CT142" s="50"/>
      <c r="CU142" s="50"/>
      <c r="CV142" s="50"/>
      <c r="CW142" s="50"/>
      <c r="CX142" s="50"/>
      <c r="CY142" s="50"/>
      <c r="CZ142" s="50"/>
      <c r="DA142" s="50"/>
      <c r="DB142" s="50"/>
      <c r="DC142" s="50"/>
      <c r="DD142" s="50"/>
      <c r="DE142" s="50"/>
      <c r="DF142" s="50"/>
      <c r="DG142" s="50"/>
      <c r="DH142" s="50"/>
      <c r="DI142" s="50"/>
      <c r="DJ142" s="50"/>
      <c r="DK142" s="50"/>
      <c r="DL142" s="50"/>
      <c r="DM142" s="50"/>
      <c r="DN142" s="50"/>
      <c r="DO142" s="50"/>
      <c r="DP142" s="50"/>
      <c r="DQ142" s="50"/>
      <c r="DR142" s="50"/>
      <c r="DS142" s="50"/>
      <c r="DT142" s="50"/>
      <c r="DU142" s="50"/>
      <c r="DV142" s="50"/>
      <c r="DW142" s="50"/>
      <c r="DX142" s="50"/>
      <c r="DY142" s="50"/>
      <c r="DZ142" s="50"/>
      <c r="EA142" s="50"/>
      <c r="EB142" s="50"/>
      <c r="EC142" s="50"/>
      <c r="ED142" s="50"/>
      <c r="EE142" s="50"/>
      <c r="EF142" s="50"/>
      <c r="EG142" s="50"/>
      <c r="EH142" s="50"/>
      <c r="EI142" s="50"/>
      <c r="EJ142" s="50"/>
      <c r="EK142" s="50"/>
      <c r="EL142" s="50"/>
      <c r="EM142" s="50"/>
      <c r="EN142" s="50"/>
      <c r="EO142" s="50"/>
      <c r="EP142" s="50"/>
      <c r="EQ142" s="50"/>
      <c r="ER142" s="50"/>
      <c r="ES142" s="50"/>
      <c r="ET142" s="50"/>
      <c r="EU142" s="50"/>
      <c r="EV142" s="50"/>
      <c r="EW142" s="50"/>
      <c r="EX142" s="50"/>
      <c r="EY142" s="50"/>
      <c r="EZ142" s="50"/>
      <c r="FA142" s="50"/>
      <c r="FB142" s="50"/>
      <c r="FC142" s="50"/>
      <c r="FD142" s="50"/>
      <c r="FE142" s="50"/>
    </row>
    <row r="143" spans="1:16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c r="CO143" s="50"/>
      <c r="CP143" s="50"/>
      <c r="CQ143" s="50"/>
      <c r="CR143" s="50"/>
      <c r="CS143" s="50"/>
      <c r="CT143" s="50"/>
      <c r="CU143" s="50"/>
      <c r="CV143" s="50"/>
      <c r="CW143" s="50"/>
      <c r="CX143" s="50"/>
      <c r="CY143" s="50"/>
      <c r="CZ143" s="50"/>
      <c r="DA143" s="50"/>
      <c r="DB143" s="50"/>
      <c r="DC143" s="50"/>
      <c r="DD143" s="50"/>
      <c r="DE143" s="50"/>
      <c r="DF143" s="50"/>
      <c r="DG143" s="50"/>
      <c r="DH143" s="50"/>
      <c r="DI143" s="50"/>
      <c r="DJ143" s="50"/>
      <c r="DK143" s="50"/>
      <c r="DL143" s="50"/>
      <c r="DM143" s="50"/>
      <c r="DN143" s="50"/>
      <c r="DO143" s="50"/>
      <c r="DP143" s="50"/>
      <c r="DQ143" s="50"/>
      <c r="DR143" s="50"/>
      <c r="DS143" s="50"/>
      <c r="DT143" s="50"/>
      <c r="DU143" s="50"/>
      <c r="DV143" s="50"/>
      <c r="DW143" s="50"/>
      <c r="DX143" s="50"/>
      <c r="DY143" s="50"/>
      <c r="DZ143" s="50"/>
      <c r="EA143" s="50"/>
      <c r="EB143" s="50"/>
      <c r="EC143" s="50"/>
      <c r="ED143" s="50"/>
      <c r="EE143" s="50"/>
      <c r="EF143" s="50"/>
      <c r="EG143" s="50"/>
      <c r="EH143" s="50"/>
      <c r="EI143" s="50"/>
      <c r="EJ143" s="50"/>
      <c r="EK143" s="50"/>
      <c r="EL143" s="50"/>
      <c r="EM143" s="50"/>
      <c r="EN143" s="50"/>
      <c r="EO143" s="50"/>
      <c r="EP143" s="50"/>
      <c r="EQ143" s="50"/>
      <c r="ER143" s="50"/>
      <c r="ES143" s="50"/>
      <c r="ET143" s="50"/>
      <c r="EU143" s="50"/>
      <c r="EV143" s="50"/>
      <c r="EW143" s="50"/>
      <c r="EX143" s="50"/>
      <c r="EY143" s="50"/>
      <c r="EZ143" s="50"/>
      <c r="FA143" s="50"/>
      <c r="FB143" s="50"/>
      <c r="FC143" s="50"/>
      <c r="FD143" s="50"/>
      <c r="FE143" s="50"/>
    </row>
    <row r="144" spans="1:16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c r="CO144" s="50"/>
      <c r="CP144" s="50"/>
      <c r="CQ144" s="50"/>
      <c r="CR144" s="50"/>
      <c r="CS144" s="50"/>
      <c r="CT144" s="50"/>
      <c r="CU144" s="50"/>
      <c r="CV144" s="50"/>
      <c r="CW144" s="50"/>
      <c r="CX144" s="50"/>
      <c r="CY144" s="50"/>
      <c r="CZ144" s="50"/>
      <c r="DA144" s="50"/>
      <c r="DB144" s="50"/>
      <c r="DC144" s="50"/>
      <c r="DD144" s="50"/>
      <c r="DE144" s="50"/>
      <c r="DF144" s="50"/>
      <c r="DG144" s="50"/>
      <c r="DH144" s="50"/>
      <c r="DI144" s="50"/>
      <c r="DJ144" s="50"/>
      <c r="DK144" s="50"/>
      <c r="DL144" s="50"/>
      <c r="DM144" s="50"/>
      <c r="DN144" s="50"/>
      <c r="DO144" s="50"/>
      <c r="DP144" s="50"/>
      <c r="DQ144" s="50"/>
      <c r="DR144" s="50"/>
      <c r="DS144" s="50"/>
      <c r="DT144" s="50"/>
      <c r="DU144" s="50"/>
      <c r="DV144" s="50"/>
      <c r="DW144" s="50"/>
      <c r="DX144" s="50"/>
      <c r="DY144" s="50"/>
      <c r="DZ144" s="50"/>
      <c r="EA144" s="50"/>
      <c r="EB144" s="50"/>
      <c r="EC144" s="50"/>
      <c r="ED144" s="50"/>
      <c r="EE144" s="50"/>
      <c r="EF144" s="50"/>
      <c r="EG144" s="50"/>
      <c r="EH144" s="50"/>
      <c r="EI144" s="50"/>
      <c r="EJ144" s="50"/>
      <c r="EK144" s="50"/>
      <c r="EL144" s="50"/>
      <c r="EM144" s="50"/>
      <c r="EN144" s="50"/>
      <c r="EO144" s="50"/>
      <c r="EP144" s="50"/>
      <c r="EQ144" s="50"/>
      <c r="ER144" s="50"/>
      <c r="ES144" s="50"/>
      <c r="ET144" s="50"/>
      <c r="EU144" s="50"/>
      <c r="EV144" s="50"/>
      <c r="EW144" s="50"/>
      <c r="EX144" s="50"/>
      <c r="EY144" s="50"/>
      <c r="EZ144" s="50"/>
      <c r="FA144" s="50"/>
      <c r="FB144" s="50"/>
      <c r="FC144" s="50"/>
      <c r="FD144" s="50"/>
      <c r="FE144" s="50"/>
    </row>
    <row r="145" spans="1:16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c r="CO145" s="50"/>
      <c r="CP145" s="50"/>
      <c r="CQ145" s="50"/>
      <c r="CR145" s="50"/>
      <c r="CS145" s="50"/>
      <c r="CT145" s="50"/>
      <c r="CU145" s="50"/>
      <c r="CV145" s="50"/>
      <c r="CW145" s="50"/>
      <c r="CX145" s="50"/>
      <c r="CY145" s="50"/>
      <c r="CZ145" s="50"/>
      <c r="DA145" s="50"/>
      <c r="DB145" s="50"/>
      <c r="DC145" s="50"/>
      <c r="DD145" s="50"/>
      <c r="DE145" s="50"/>
      <c r="DF145" s="50"/>
      <c r="DG145" s="50"/>
      <c r="DH145" s="50"/>
      <c r="DI145" s="50"/>
      <c r="DJ145" s="50"/>
      <c r="DK145" s="50"/>
      <c r="DL145" s="50"/>
      <c r="DM145" s="50"/>
      <c r="DN145" s="50"/>
      <c r="DO145" s="50"/>
      <c r="DP145" s="50"/>
      <c r="DQ145" s="50"/>
      <c r="DR145" s="50"/>
      <c r="DS145" s="50"/>
      <c r="DT145" s="50"/>
      <c r="DU145" s="50"/>
      <c r="DV145" s="50"/>
      <c r="DW145" s="50"/>
      <c r="DX145" s="50"/>
      <c r="DY145" s="50"/>
      <c r="DZ145" s="50"/>
      <c r="EA145" s="50"/>
      <c r="EB145" s="50"/>
      <c r="EC145" s="50"/>
      <c r="ED145" s="50"/>
      <c r="EE145" s="50"/>
      <c r="EF145" s="50"/>
      <c r="EG145" s="50"/>
      <c r="EH145" s="50"/>
      <c r="EI145" s="50"/>
      <c r="EJ145" s="50"/>
      <c r="EK145" s="50"/>
      <c r="EL145" s="50"/>
      <c r="EM145" s="50"/>
      <c r="EN145" s="50"/>
      <c r="EO145" s="50"/>
      <c r="EP145" s="50"/>
      <c r="EQ145" s="50"/>
      <c r="ER145" s="50"/>
      <c r="ES145" s="50"/>
      <c r="ET145" s="50"/>
      <c r="EU145" s="50"/>
      <c r="EV145" s="50"/>
      <c r="EW145" s="50"/>
      <c r="EX145" s="50"/>
      <c r="EY145" s="50"/>
      <c r="EZ145" s="50"/>
      <c r="FA145" s="50"/>
      <c r="FB145" s="50"/>
      <c r="FC145" s="50"/>
      <c r="FD145" s="50"/>
      <c r="FE145" s="50"/>
    </row>
    <row r="146" spans="1:16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50"/>
      <c r="DJ146" s="50"/>
      <c r="DK146" s="50"/>
      <c r="DL146" s="50"/>
      <c r="DM146" s="50"/>
      <c r="DN146" s="50"/>
      <c r="DO146" s="50"/>
      <c r="DP146" s="50"/>
      <c r="DQ146" s="50"/>
      <c r="DR146" s="50"/>
      <c r="DS146" s="50"/>
      <c r="DT146" s="50"/>
      <c r="DU146" s="50"/>
      <c r="DV146" s="50"/>
      <c r="DW146" s="50"/>
      <c r="DX146" s="50"/>
      <c r="DY146" s="50"/>
      <c r="DZ146" s="50"/>
      <c r="EA146" s="50"/>
      <c r="EB146" s="50"/>
      <c r="EC146" s="50"/>
      <c r="ED146" s="50"/>
      <c r="EE146" s="50"/>
      <c r="EF146" s="50"/>
      <c r="EG146" s="50"/>
      <c r="EH146" s="50"/>
      <c r="EI146" s="50"/>
      <c r="EJ146" s="50"/>
      <c r="EK146" s="50"/>
      <c r="EL146" s="50"/>
      <c r="EM146" s="50"/>
      <c r="EN146" s="50"/>
      <c r="EO146" s="50"/>
      <c r="EP146" s="50"/>
      <c r="EQ146" s="50"/>
      <c r="ER146" s="50"/>
      <c r="ES146" s="50"/>
      <c r="ET146" s="50"/>
      <c r="EU146" s="50"/>
      <c r="EV146" s="50"/>
      <c r="EW146" s="50"/>
      <c r="EX146" s="50"/>
      <c r="EY146" s="50"/>
      <c r="EZ146" s="50"/>
      <c r="FA146" s="50"/>
      <c r="FB146" s="50"/>
      <c r="FC146" s="50"/>
      <c r="FD146" s="50"/>
      <c r="FE146" s="50"/>
    </row>
    <row r="147" spans="1:16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c r="CO147" s="50"/>
      <c r="CP147" s="50"/>
      <c r="CQ147" s="50"/>
      <c r="CR147" s="50"/>
      <c r="CS147" s="50"/>
      <c r="CT147" s="50"/>
      <c r="CU147" s="50"/>
      <c r="CV147" s="50"/>
      <c r="CW147" s="50"/>
      <c r="CX147" s="50"/>
      <c r="CY147" s="50"/>
      <c r="CZ147" s="50"/>
      <c r="DA147" s="50"/>
      <c r="DB147" s="50"/>
      <c r="DC147" s="50"/>
      <c r="DD147" s="50"/>
      <c r="DE147" s="50"/>
      <c r="DF147" s="50"/>
      <c r="DG147" s="50"/>
      <c r="DH147" s="50"/>
      <c r="DI147" s="50"/>
      <c r="DJ147" s="50"/>
      <c r="DK147" s="50"/>
      <c r="DL147" s="50"/>
      <c r="DM147" s="50"/>
      <c r="DN147" s="50"/>
      <c r="DO147" s="50"/>
      <c r="DP147" s="50"/>
      <c r="DQ147" s="50"/>
      <c r="DR147" s="50"/>
      <c r="DS147" s="50"/>
      <c r="DT147" s="50"/>
      <c r="DU147" s="50"/>
      <c r="DV147" s="50"/>
      <c r="DW147" s="50"/>
      <c r="DX147" s="50"/>
      <c r="DY147" s="50"/>
      <c r="DZ147" s="50"/>
      <c r="EA147" s="50"/>
      <c r="EB147" s="50"/>
      <c r="EC147" s="50"/>
      <c r="ED147" s="50"/>
      <c r="EE147" s="50"/>
      <c r="EF147" s="50"/>
      <c r="EG147" s="50"/>
      <c r="EH147" s="50"/>
      <c r="EI147" s="50"/>
      <c r="EJ147" s="50"/>
      <c r="EK147" s="50"/>
      <c r="EL147" s="50"/>
      <c r="EM147" s="50"/>
      <c r="EN147" s="50"/>
      <c r="EO147" s="50"/>
      <c r="EP147" s="50"/>
      <c r="EQ147" s="50"/>
      <c r="ER147" s="50"/>
      <c r="ES147" s="50"/>
      <c r="ET147" s="50"/>
      <c r="EU147" s="50"/>
      <c r="EV147" s="50"/>
      <c r="EW147" s="50"/>
      <c r="EX147" s="50"/>
      <c r="EY147" s="50"/>
      <c r="EZ147" s="50"/>
      <c r="FA147" s="50"/>
      <c r="FB147" s="50"/>
      <c r="FC147" s="50"/>
      <c r="FD147" s="50"/>
      <c r="FE147" s="50"/>
    </row>
    <row r="148" spans="1:16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c r="CR148" s="50"/>
      <c r="CS148" s="50"/>
      <c r="CT148" s="50"/>
      <c r="CU148" s="50"/>
      <c r="CV148" s="50"/>
      <c r="CW148" s="50"/>
      <c r="CX148" s="50"/>
      <c r="CY148" s="50"/>
      <c r="CZ148" s="50"/>
      <c r="DA148" s="50"/>
      <c r="DB148" s="50"/>
      <c r="DC148" s="50"/>
      <c r="DD148" s="50"/>
      <c r="DE148" s="50"/>
      <c r="DF148" s="50"/>
      <c r="DG148" s="50"/>
      <c r="DH148" s="50"/>
      <c r="DI148" s="50"/>
      <c r="DJ148" s="50"/>
      <c r="DK148" s="50"/>
      <c r="DL148" s="50"/>
      <c r="DM148" s="50"/>
      <c r="DN148" s="50"/>
      <c r="DO148" s="50"/>
      <c r="DP148" s="50"/>
      <c r="DQ148" s="50"/>
      <c r="DR148" s="50"/>
      <c r="DS148" s="50"/>
      <c r="DT148" s="50"/>
      <c r="DU148" s="50"/>
      <c r="DV148" s="50"/>
      <c r="DW148" s="50"/>
      <c r="DX148" s="50"/>
      <c r="DY148" s="50"/>
      <c r="DZ148" s="50"/>
      <c r="EA148" s="50"/>
      <c r="EB148" s="50"/>
      <c r="EC148" s="50"/>
      <c r="ED148" s="50"/>
      <c r="EE148" s="50"/>
      <c r="EF148" s="50"/>
      <c r="EG148" s="50"/>
      <c r="EH148" s="50"/>
      <c r="EI148" s="50"/>
      <c r="EJ148" s="50"/>
      <c r="EK148" s="50"/>
      <c r="EL148" s="50"/>
      <c r="EM148" s="50"/>
      <c r="EN148" s="50"/>
      <c r="EO148" s="50"/>
      <c r="EP148" s="50"/>
      <c r="EQ148" s="50"/>
      <c r="ER148" s="50"/>
      <c r="ES148" s="50"/>
      <c r="ET148" s="50"/>
      <c r="EU148" s="50"/>
      <c r="EV148" s="50"/>
      <c r="EW148" s="50"/>
      <c r="EX148" s="50"/>
      <c r="EY148" s="50"/>
      <c r="EZ148" s="50"/>
      <c r="FA148" s="50"/>
      <c r="FB148" s="50"/>
      <c r="FC148" s="50"/>
      <c r="FD148" s="50"/>
      <c r="FE148" s="50"/>
    </row>
    <row r="149" spans="1:16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c r="CR149" s="50"/>
      <c r="CS149" s="50"/>
      <c r="CT149" s="50"/>
      <c r="CU149" s="50"/>
      <c r="CV149" s="50"/>
      <c r="CW149" s="50"/>
      <c r="CX149" s="50"/>
      <c r="CY149" s="50"/>
      <c r="CZ149" s="50"/>
      <c r="DA149" s="50"/>
      <c r="DB149" s="50"/>
      <c r="DC149" s="50"/>
      <c r="DD149" s="50"/>
      <c r="DE149" s="50"/>
      <c r="DF149" s="50"/>
      <c r="DG149" s="50"/>
      <c r="DH149" s="50"/>
      <c r="DI149" s="50"/>
      <c r="DJ149" s="50"/>
      <c r="DK149" s="50"/>
      <c r="DL149" s="50"/>
      <c r="DM149" s="50"/>
      <c r="DN149" s="50"/>
      <c r="DO149" s="50"/>
      <c r="DP149" s="50"/>
      <c r="DQ149" s="50"/>
      <c r="DR149" s="50"/>
      <c r="DS149" s="50"/>
      <c r="DT149" s="50"/>
      <c r="DU149" s="50"/>
      <c r="DV149" s="50"/>
      <c r="DW149" s="50"/>
      <c r="DX149" s="50"/>
      <c r="DY149" s="50"/>
      <c r="DZ149" s="50"/>
      <c r="EA149" s="50"/>
      <c r="EB149" s="50"/>
      <c r="EC149" s="50"/>
      <c r="ED149" s="50"/>
      <c r="EE149" s="50"/>
      <c r="EF149" s="50"/>
      <c r="EG149" s="50"/>
      <c r="EH149" s="50"/>
      <c r="EI149" s="50"/>
      <c r="EJ149" s="50"/>
      <c r="EK149" s="50"/>
      <c r="EL149" s="50"/>
      <c r="EM149" s="50"/>
      <c r="EN149" s="50"/>
      <c r="EO149" s="50"/>
      <c r="EP149" s="50"/>
      <c r="EQ149" s="50"/>
      <c r="ER149" s="50"/>
      <c r="ES149" s="50"/>
      <c r="ET149" s="50"/>
      <c r="EU149" s="50"/>
      <c r="EV149" s="50"/>
      <c r="EW149" s="50"/>
      <c r="EX149" s="50"/>
      <c r="EY149" s="50"/>
      <c r="EZ149" s="50"/>
      <c r="FA149" s="50"/>
      <c r="FB149" s="50"/>
      <c r="FC149" s="50"/>
      <c r="FD149" s="50"/>
      <c r="FE149" s="50"/>
    </row>
    <row r="150" spans="1:16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50"/>
      <c r="DJ150" s="50"/>
      <c r="DK150" s="50"/>
      <c r="DL150" s="50"/>
      <c r="DM150" s="50"/>
      <c r="DN150" s="50"/>
      <c r="DO150" s="50"/>
      <c r="DP150" s="50"/>
      <c r="DQ150" s="50"/>
      <c r="DR150" s="50"/>
      <c r="DS150" s="50"/>
      <c r="DT150" s="50"/>
      <c r="DU150" s="50"/>
      <c r="DV150" s="50"/>
      <c r="DW150" s="50"/>
      <c r="DX150" s="50"/>
      <c r="DY150" s="50"/>
      <c r="DZ150" s="50"/>
      <c r="EA150" s="50"/>
      <c r="EB150" s="50"/>
      <c r="EC150" s="50"/>
      <c r="ED150" s="50"/>
      <c r="EE150" s="50"/>
      <c r="EF150" s="50"/>
      <c r="EG150" s="50"/>
      <c r="EH150" s="50"/>
      <c r="EI150" s="50"/>
      <c r="EJ150" s="50"/>
      <c r="EK150" s="50"/>
      <c r="EL150" s="50"/>
      <c r="EM150" s="50"/>
      <c r="EN150" s="50"/>
      <c r="EO150" s="50"/>
      <c r="EP150" s="50"/>
      <c r="EQ150" s="50"/>
      <c r="ER150" s="50"/>
      <c r="ES150" s="50"/>
      <c r="ET150" s="50"/>
      <c r="EU150" s="50"/>
      <c r="EV150" s="50"/>
      <c r="EW150" s="50"/>
      <c r="EX150" s="50"/>
      <c r="EY150" s="50"/>
      <c r="EZ150" s="50"/>
      <c r="FA150" s="50"/>
      <c r="FB150" s="50"/>
      <c r="FC150" s="50"/>
      <c r="FD150" s="50"/>
      <c r="FE150" s="50"/>
    </row>
    <row r="151" spans="1:16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c r="CR151" s="50"/>
      <c r="CS151" s="50"/>
      <c r="CT151" s="50"/>
      <c r="CU151" s="50"/>
      <c r="CV151" s="50"/>
      <c r="CW151" s="50"/>
      <c r="CX151" s="50"/>
      <c r="CY151" s="50"/>
      <c r="CZ151" s="50"/>
      <c r="DA151" s="50"/>
      <c r="DB151" s="50"/>
      <c r="DC151" s="50"/>
      <c r="DD151" s="50"/>
      <c r="DE151" s="50"/>
      <c r="DF151" s="50"/>
      <c r="DG151" s="50"/>
      <c r="DH151" s="50"/>
      <c r="DI151" s="50"/>
      <c r="DJ151" s="50"/>
      <c r="DK151" s="50"/>
      <c r="DL151" s="50"/>
      <c r="DM151" s="50"/>
      <c r="DN151" s="50"/>
      <c r="DO151" s="50"/>
      <c r="DP151" s="50"/>
      <c r="DQ151" s="50"/>
      <c r="DR151" s="50"/>
      <c r="DS151" s="50"/>
      <c r="DT151" s="50"/>
      <c r="DU151" s="50"/>
      <c r="DV151" s="50"/>
      <c r="DW151" s="50"/>
      <c r="DX151" s="50"/>
      <c r="DY151" s="50"/>
      <c r="DZ151" s="50"/>
      <c r="EA151" s="50"/>
      <c r="EB151" s="50"/>
      <c r="EC151" s="50"/>
      <c r="ED151" s="50"/>
      <c r="EE151" s="50"/>
      <c r="EF151" s="50"/>
      <c r="EG151" s="50"/>
      <c r="EH151" s="50"/>
      <c r="EI151" s="50"/>
      <c r="EJ151" s="50"/>
      <c r="EK151" s="50"/>
      <c r="EL151" s="50"/>
      <c r="EM151" s="50"/>
      <c r="EN151" s="50"/>
      <c r="EO151" s="50"/>
      <c r="EP151" s="50"/>
      <c r="EQ151" s="50"/>
      <c r="ER151" s="50"/>
      <c r="ES151" s="50"/>
      <c r="ET151" s="50"/>
      <c r="EU151" s="50"/>
      <c r="EV151" s="50"/>
      <c r="EW151" s="50"/>
      <c r="EX151" s="50"/>
      <c r="EY151" s="50"/>
      <c r="EZ151" s="50"/>
      <c r="FA151" s="50"/>
      <c r="FB151" s="50"/>
      <c r="FC151" s="50"/>
      <c r="FD151" s="50"/>
      <c r="FE151" s="50"/>
    </row>
    <row r="152" spans="1:16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c r="CR152" s="50"/>
      <c r="CS152" s="50"/>
      <c r="CT152" s="50"/>
      <c r="CU152" s="50"/>
      <c r="CV152" s="50"/>
      <c r="CW152" s="50"/>
      <c r="CX152" s="50"/>
      <c r="CY152" s="50"/>
      <c r="CZ152" s="50"/>
      <c r="DA152" s="50"/>
      <c r="DB152" s="50"/>
      <c r="DC152" s="50"/>
      <c r="DD152" s="50"/>
      <c r="DE152" s="50"/>
      <c r="DF152" s="50"/>
      <c r="DG152" s="50"/>
      <c r="DH152" s="50"/>
      <c r="DI152" s="50"/>
      <c r="DJ152" s="50"/>
      <c r="DK152" s="50"/>
      <c r="DL152" s="50"/>
      <c r="DM152" s="50"/>
      <c r="DN152" s="50"/>
      <c r="DO152" s="50"/>
      <c r="DP152" s="50"/>
      <c r="DQ152" s="50"/>
      <c r="DR152" s="50"/>
      <c r="DS152" s="50"/>
      <c r="DT152" s="50"/>
      <c r="DU152" s="50"/>
      <c r="DV152" s="50"/>
      <c r="DW152" s="50"/>
      <c r="DX152" s="50"/>
      <c r="DY152" s="50"/>
      <c r="DZ152" s="50"/>
      <c r="EA152" s="50"/>
      <c r="EB152" s="50"/>
      <c r="EC152" s="50"/>
      <c r="ED152" s="50"/>
      <c r="EE152" s="50"/>
      <c r="EF152" s="50"/>
      <c r="EG152" s="50"/>
      <c r="EH152" s="50"/>
      <c r="EI152" s="50"/>
      <c r="EJ152" s="50"/>
      <c r="EK152" s="50"/>
      <c r="EL152" s="50"/>
      <c r="EM152" s="50"/>
      <c r="EN152" s="50"/>
      <c r="EO152" s="50"/>
      <c r="EP152" s="50"/>
      <c r="EQ152" s="50"/>
      <c r="ER152" s="50"/>
      <c r="ES152" s="50"/>
      <c r="ET152" s="50"/>
      <c r="EU152" s="50"/>
      <c r="EV152" s="50"/>
      <c r="EW152" s="50"/>
      <c r="EX152" s="50"/>
      <c r="EY152" s="50"/>
      <c r="EZ152" s="50"/>
      <c r="FA152" s="50"/>
      <c r="FB152" s="50"/>
      <c r="FC152" s="50"/>
      <c r="FD152" s="50"/>
      <c r="FE152" s="50"/>
    </row>
    <row r="153" spans="1:16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c r="CO153" s="50"/>
      <c r="CP153" s="50"/>
      <c r="CQ153" s="50"/>
      <c r="CR153" s="50"/>
      <c r="CS153" s="50"/>
      <c r="CT153" s="50"/>
      <c r="CU153" s="50"/>
      <c r="CV153" s="50"/>
      <c r="CW153" s="50"/>
      <c r="CX153" s="50"/>
      <c r="CY153" s="50"/>
      <c r="CZ153" s="50"/>
      <c r="DA153" s="50"/>
      <c r="DB153" s="50"/>
      <c r="DC153" s="50"/>
      <c r="DD153" s="50"/>
      <c r="DE153" s="50"/>
      <c r="DF153" s="50"/>
      <c r="DG153" s="50"/>
      <c r="DH153" s="50"/>
      <c r="DI153" s="50"/>
      <c r="DJ153" s="50"/>
      <c r="DK153" s="50"/>
      <c r="DL153" s="50"/>
      <c r="DM153" s="50"/>
      <c r="DN153" s="50"/>
      <c r="DO153" s="50"/>
      <c r="DP153" s="50"/>
      <c r="DQ153" s="50"/>
      <c r="DR153" s="50"/>
      <c r="DS153" s="50"/>
      <c r="DT153" s="50"/>
      <c r="DU153" s="50"/>
      <c r="DV153" s="50"/>
      <c r="DW153" s="50"/>
      <c r="DX153" s="50"/>
      <c r="DY153" s="50"/>
      <c r="DZ153" s="50"/>
      <c r="EA153" s="50"/>
      <c r="EB153" s="50"/>
      <c r="EC153" s="50"/>
      <c r="ED153" s="50"/>
      <c r="EE153" s="50"/>
      <c r="EF153" s="50"/>
      <c r="EG153" s="50"/>
      <c r="EH153" s="50"/>
      <c r="EI153" s="50"/>
      <c r="EJ153" s="50"/>
      <c r="EK153" s="50"/>
      <c r="EL153" s="50"/>
      <c r="EM153" s="50"/>
      <c r="EN153" s="50"/>
      <c r="EO153" s="50"/>
      <c r="EP153" s="50"/>
      <c r="EQ153" s="50"/>
      <c r="ER153" s="50"/>
      <c r="ES153" s="50"/>
      <c r="ET153" s="50"/>
      <c r="EU153" s="50"/>
      <c r="EV153" s="50"/>
      <c r="EW153" s="50"/>
      <c r="EX153" s="50"/>
      <c r="EY153" s="50"/>
      <c r="EZ153" s="50"/>
      <c r="FA153" s="50"/>
      <c r="FB153" s="50"/>
      <c r="FC153" s="50"/>
      <c r="FD153" s="50"/>
      <c r="FE153" s="50"/>
    </row>
    <row r="154" spans="1:16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c r="CO154" s="50"/>
      <c r="CP154" s="50"/>
      <c r="CQ154" s="50"/>
      <c r="CR154" s="50"/>
      <c r="CS154" s="50"/>
      <c r="CT154" s="50"/>
      <c r="CU154" s="50"/>
      <c r="CV154" s="50"/>
      <c r="CW154" s="50"/>
      <c r="CX154" s="50"/>
      <c r="CY154" s="50"/>
      <c r="CZ154" s="50"/>
      <c r="DA154" s="50"/>
      <c r="DB154" s="50"/>
      <c r="DC154" s="50"/>
      <c r="DD154" s="50"/>
      <c r="DE154" s="50"/>
      <c r="DF154" s="50"/>
      <c r="DG154" s="50"/>
      <c r="DH154" s="50"/>
      <c r="DI154" s="50"/>
      <c r="DJ154" s="50"/>
      <c r="DK154" s="50"/>
      <c r="DL154" s="50"/>
      <c r="DM154" s="50"/>
      <c r="DN154" s="50"/>
      <c r="DO154" s="50"/>
      <c r="DP154" s="50"/>
      <c r="DQ154" s="50"/>
      <c r="DR154" s="50"/>
      <c r="DS154" s="50"/>
      <c r="DT154" s="50"/>
      <c r="DU154" s="50"/>
      <c r="DV154" s="50"/>
      <c r="DW154" s="50"/>
      <c r="DX154" s="50"/>
      <c r="DY154" s="50"/>
      <c r="DZ154" s="50"/>
      <c r="EA154" s="50"/>
      <c r="EB154" s="50"/>
      <c r="EC154" s="50"/>
      <c r="ED154" s="50"/>
      <c r="EE154" s="50"/>
      <c r="EF154" s="50"/>
      <c r="EG154" s="50"/>
      <c r="EH154" s="50"/>
      <c r="EI154" s="50"/>
      <c r="EJ154" s="50"/>
      <c r="EK154" s="50"/>
      <c r="EL154" s="50"/>
      <c r="EM154" s="50"/>
      <c r="EN154" s="50"/>
      <c r="EO154" s="50"/>
      <c r="EP154" s="50"/>
      <c r="EQ154" s="50"/>
      <c r="ER154" s="50"/>
      <c r="ES154" s="50"/>
      <c r="ET154" s="50"/>
      <c r="EU154" s="50"/>
      <c r="EV154" s="50"/>
      <c r="EW154" s="50"/>
      <c r="EX154" s="50"/>
      <c r="EY154" s="50"/>
      <c r="EZ154" s="50"/>
      <c r="FA154" s="50"/>
      <c r="FB154" s="50"/>
      <c r="FC154" s="50"/>
      <c r="FD154" s="50"/>
      <c r="FE154" s="50"/>
    </row>
    <row r="155" spans="1:16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0"/>
      <c r="CR155" s="50"/>
      <c r="CS155" s="50"/>
      <c r="CT155" s="50"/>
      <c r="CU155" s="50"/>
      <c r="CV155" s="50"/>
      <c r="CW155" s="50"/>
      <c r="CX155" s="50"/>
      <c r="CY155" s="50"/>
      <c r="CZ155" s="50"/>
      <c r="DA155" s="50"/>
      <c r="DB155" s="50"/>
      <c r="DC155" s="50"/>
      <c r="DD155" s="50"/>
      <c r="DE155" s="50"/>
      <c r="DF155" s="50"/>
      <c r="DG155" s="50"/>
      <c r="DH155" s="50"/>
      <c r="DI155" s="50"/>
      <c r="DJ155" s="50"/>
      <c r="DK155" s="50"/>
      <c r="DL155" s="50"/>
      <c r="DM155" s="50"/>
      <c r="DN155" s="50"/>
      <c r="DO155" s="50"/>
      <c r="DP155" s="50"/>
      <c r="DQ155" s="50"/>
      <c r="DR155" s="50"/>
      <c r="DS155" s="50"/>
      <c r="DT155" s="50"/>
      <c r="DU155" s="50"/>
      <c r="DV155" s="50"/>
      <c r="DW155" s="50"/>
      <c r="DX155" s="50"/>
      <c r="DY155" s="50"/>
      <c r="DZ155" s="50"/>
      <c r="EA155" s="50"/>
      <c r="EB155" s="50"/>
      <c r="EC155" s="50"/>
      <c r="ED155" s="50"/>
      <c r="EE155" s="50"/>
      <c r="EF155" s="50"/>
      <c r="EG155" s="50"/>
      <c r="EH155" s="50"/>
      <c r="EI155" s="50"/>
      <c r="EJ155" s="50"/>
      <c r="EK155" s="50"/>
      <c r="EL155" s="50"/>
      <c r="EM155" s="50"/>
      <c r="EN155" s="50"/>
      <c r="EO155" s="50"/>
      <c r="EP155" s="50"/>
      <c r="EQ155" s="50"/>
      <c r="ER155" s="50"/>
      <c r="ES155" s="50"/>
      <c r="ET155" s="50"/>
      <c r="EU155" s="50"/>
      <c r="EV155" s="50"/>
      <c r="EW155" s="50"/>
      <c r="EX155" s="50"/>
      <c r="EY155" s="50"/>
      <c r="EZ155" s="50"/>
      <c r="FA155" s="50"/>
      <c r="FB155" s="50"/>
      <c r="FC155" s="50"/>
      <c r="FD155" s="50"/>
      <c r="FE155" s="50"/>
    </row>
    <row r="156" spans="1:16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c r="CO156" s="50"/>
      <c r="CP156" s="50"/>
      <c r="CQ156" s="50"/>
      <c r="CR156" s="50"/>
      <c r="CS156" s="50"/>
      <c r="CT156" s="50"/>
      <c r="CU156" s="50"/>
      <c r="CV156" s="50"/>
      <c r="CW156" s="50"/>
      <c r="CX156" s="50"/>
      <c r="CY156" s="50"/>
      <c r="CZ156" s="50"/>
      <c r="DA156" s="50"/>
      <c r="DB156" s="50"/>
      <c r="DC156" s="50"/>
      <c r="DD156" s="50"/>
      <c r="DE156" s="50"/>
      <c r="DF156" s="50"/>
      <c r="DG156" s="50"/>
      <c r="DH156" s="50"/>
      <c r="DI156" s="50"/>
      <c r="DJ156" s="50"/>
      <c r="DK156" s="50"/>
      <c r="DL156" s="50"/>
      <c r="DM156" s="50"/>
      <c r="DN156" s="50"/>
      <c r="DO156" s="50"/>
      <c r="DP156" s="50"/>
      <c r="DQ156" s="50"/>
      <c r="DR156" s="50"/>
      <c r="DS156" s="50"/>
      <c r="DT156" s="50"/>
      <c r="DU156" s="50"/>
      <c r="DV156" s="50"/>
      <c r="DW156" s="50"/>
      <c r="DX156" s="50"/>
      <c r="DY156" s="50"/>
      <c r="DZ156" s="50"/>
      <c r="EA156" s="50"/>
      <c r="EB156" s="50"/>
      <c r="EC156" s="50"/>
      <c r="ED156" s="50"/>
      <c r="EE156" s="50"/>
      <c r="EF156" s="50"/>
      <c r="EG156" s="50"/>
      <c r="EH156" s="50"/>
      <c r="EI156" s="50"/>
      <c r="EJ156" s="50"/>
      <c r="EK156" s="50"/>
      <c r="EL156" s="50"/>
      <c r="EM156" s="50"/>
      <c r="EN156" s="50"/>
      <c r="EO156" s="50"/>
      <c r="EP156" s="50"/>
      <c r="EQ156" s="50"/>
      <c r="ER156" s="50"/>
      <c r="ES156" s="50"/>
      <c r="ET156" s="50"/>
      <c r="EU156" s="50"/>
      <c r="EV156" s="50"/>
      <c r="EW156" s="50"/>
      <c r="EX156" s="50"/>
      <c r="EY156" s="50"/>
      <c r="EZ156" s="50"/>
      <c r="FA156" s="50"/>
      <c r="FB156" s="50"/>
      <c r="FC156" s="50"/>
      <c r="FD156" s="50"/>
      <c r="FE156" s="50"/>
    </row>
    <row r="157" spans="1:16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c r="CO157" s="50"/>
      <c r="CP157" s="50"/>
      <c r="CQ157" s="50"/>
      <c r="CR157" s="50"/>
      <c r="CS157" s="50"/>
      <c r="CT157" s="50"/>
      <c r="CU157" s="50"/>
      <c r="CV157" s="50"/>
      <c r="CW157" s="50"/>
      <c r="CX157" s="50"/>
      <c r="CY157" s="50"/>
      <c r="CZ157" s="50"/>
      <c r="DA157" s="50"/>
      <c r="DB157" s="50"/>
      <c r="DC157" s="50"/>
      <c r="DD157" s="50"/>
      <c r="DE157" s="50"/>
      <c r="DF157" s="50"/>
      <c r="DG157" s="50"/>
      <c r="DH157" s="50"/>
      <c r="DI157" s="50"/>
      <c r="DJ157" s="50"/>
      <c r="DK157" s="50"/>
      <c r="DL157" s="50"/>
      <c r="DM157" s="50"/>
      <c r="DN157" s="50"/>
      <c r="DO157" s="50"/>
      <c r="DP157" s="50"/>
      <c r="DQ157" s="50"/>
      <c r="DR157" s="50"/>
      <c r="DS157" s="50"/>
      <c r="DT157" s="50"/>
      <c r="DU157" s="50"/>
      <c r="DV157" s="50"/>
      <c r="DW157" s="50"/>
      <c r="DX157" s="50"/>
      <c r="DY157" s="50"/>
      <c r="DZ157" s="50"/>
      <c r="EA157" s="50"/>
      <c r="EB157" s="50"/>
      <c r="EC157" s="50"/>
      <c r="ED157" s="50"/>
      <c r="EE157" s="50"/>
      <c r="EF157" s="50"/>
      <c r="EG157" s="50"/>
      <c r="EH157" s="50"/>
      <c r="EI157" s="50"/>
      <c r="EJ157" s="50"/>
      <c r="EK157" s="50"/>
      <c r="EL157" s="50"/>
      <c r="EM157" s="50"/>
      <c r="EN157" s="50"/>
      <c r="EO157" s="50"/>
      <c r="EP157" s="50"/>
      <c r="EQ157" s="50"/>
      <c r="ER157" s="50"/>
      <c r="ES157" s="50"/>
      <c r="ET157" s="50"/>
      <c r="EU157" s="50"/>
      <c r="EV157" s="50"/>
      <c r="EW157" s="50"/>
      <c r="EX157" s="50"/>
      <c r="EY157" s="50"/>
      <c r="EZ157" s="50"/>
      <c r="FA157" s="50"/>
      <c r="FB157" s="50"/>
      <c r="FC157" s="50"/>
      <c r="FD157" s="50"/>
      <c r="FE157" s="50"/>
    </row>
    <row r="158" spans="1:16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c r="CO158" s="50"/>
      <c r="CP158" s="50"/>
      <c r="CQ158" s="50"/>
      <c r="CR158" s="50"/>
      <c r="CS158" s="50"/>
      <c r="CT158" s="50"/>
      <c r="CU158" s="50"/>
      <c r="CV158" s="50"/>
      <c r="CW158" s="50"/>
      <c r="CX158" s="50"/>
      <c r="CY158" s="50"/>
      <c r="CZ158" s="50"/>
      <c r="DA158" s="50"/>
      <c r="DB158" s="50"/>
      <c r="DC158" s="50"/>
      <c r="DD158" s="50"/>
      <c r="DE158" s="50"/>
      <c r="DF158" s="50"/>
      <c r="DG158" s="50"/>
      <c r="DH158" s="50"/>
      <c r="DI158" s="50"/>
      <c r="DJ158" s="50"/>
      <c r="DK158" s="50"/>
      <c r="DL158" s="50"/>
      <c r="DM158" s="50"/>
      <c r="DN158" s="50"/>
      <c r="DO158" s="50"/>
      <c r="DP158" s="50"/>
      <c r="DQ158" s="50"/>
      <c r="DR158" s="50"/>
      <c r="DS158" s="50"/>
      <c r="DT158" s="50"/>
      <c r="DU158" s="50"/>
      <c r="DV158" s="50"/>
      <c r="DW158" s="50"/>
      <c r="DX158" s="50"/>
      <c r="DY158" s="50"/>
      <c r="DZ158" s="50"/>
      <c r="EA158" s="50"/>
      <c r="EB158" s="50"/>
      <c r="EC158" s="50"/>
      <c r="ED158" s="50"/>
      <c r="EE158" s="50"/>
      <c r="EF158" s="50"/>
      <c r="EG158" s="50"/>
      <c r="EH158" s="50"/>
      <c r="EI158" s="50"/>
      <c r="EJ158" s="50"/>
      <c r="EK158" s="50"/>
      <c r="EL158" s="50"/>
      <c r="EM158" s="50"/>
      <c r="EN158" s="50"/>
      <c r="EO158" s="50"/>
      <c r="EP158" s="50"/>
      <c r="EQ158" s="50"/>
      <c r="ER158" s="50"/>
      <c r="ES158" s="50"/>
      <c r="ET158" s="50"/>
      <c r="EU158" s="50"/>
      <c r="EV158" s="50"/>
      <c r="EW158" s="50"/>
      <c r="EX158" s="50"/>
      <c r="EY158" s="50"/>
      <c r="EZ158" s="50"/>
      <c r="FA158" s="50"/>
      <c r="FB158" s="50"/>
      <c r="FC158" s="50"/>
      <c r="FD158" s="50"/>
      <c r="FE158" s="50"/>
    </row>
    <row r="159" spans="1:16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c r="CR159" s="50"/>
      <c r="CS159" s="50"/>
      <c r="CT159" s="50"/>
      <c r="CU159" s="50"/>
      <c r="CV159" s="50"/>
      <c r="CW159" s="50"/>
      <c r="CX159" s="50"/>
      <c r="CY159" s="50"/>
      <c r="CZ159" s="50"/>
      <c r="DA159" s="50"/>
      <c r="DB159" s="50"/>
      <c r="DC159" s="50"/>
      <c r="DD159" s="50"/>
      <c r="DE159" s="50"/>
      <c r="DF159" s="50"/>
      <c r="DG159" s="50"/>
      <c r="DH159" s="50"/>
      <c r="DI159" s="50"/>
      <c r="DJ159" s="50"/>
      <c r="DK159" s="50"/>
      <c r="DL159" s="50"/>
      <c r="DM159" s="50"/>
      <c r="DN159" s="50"/>
      <c r="DO159" s="50"/>
      <c r="DP159" s="50"/>
      <c r="DQ159" s="50"/>
      <c r="DR159" s="50"/>
      <c r="DS159" s="50"/>
      <c r="DT159" s="50"/>
      <c r="DU159" s="50"/>
      <c r="DV159" s="50"/>
      <c r="DW159" s="50"/>
      <c r="DX159" s="50"/>
      <c r="DY159" s="50"/>
      <c r="DZ159" s="50"/>
      <c r="EA159" s="50"/>
      <c r="EB159" s="50"/>
      <c r="EC159" s="50"/>
      <c r="ED159" s="50"/>
      <c r="EE159" s="50"/>
      <c r="EF159" s="50"/>
      <c r="EG159" s="50"/>
      <c r="EH159" s="50"/>
      <c r="EI159" s="50"/>
      <c r="EJ159" s="50"/>
      <c r="EK159" s="50"/>
      <c r="EL159" s="50"/>
      <c r="EM159" s="50"/>
      <c r="EN159" s="50"/>
      <c r="EO159" s="50"/>
      <c r="EP159" s="50"/>
      <c r="EQ159" s="50"/>
      <c r="ER159" s="50"/>
      <c r="ES159" s="50"/>
      <c r="ET159" s="50"/>
      <c r="EU159" s="50"/>
      <c r="EV159" s="50"/>
      <c r="EW159" s="50"/>
      <c r="EX159" s="50"/>
      <c r="EY159" s="50"/>
      <c r="EZ159" s="50"/>
      <c r="FA159" s="50"/>
      <c r="FB159" s="50"/>
      <c r="FC159" s="50"/>
      <c r="FD159" s="50"/>
      <c r="FE159" s="50"/>
    </row>
    <row r="160" spans="1:16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c r="CR160" s="50"/>
      <c r="CS160" s="50"/>
      <c r="CT160" s="50"/>
      <c r="CU160" s="50"/>
      <c r="CV160" s="50"/>
      <c r="CW160" s="50"/>
      <c r="CX160" s="50"/>
      <c r="CY160" s="50"/>
      <c r="CZ160" s="50"/>
      <c r="DA160" s="50"/>
      <c r="DB160" s="50"/>
      <c r="DC160" s="50"/>
      <c r="DD160" s="50"/>
      <c r="DE160" s="50"/>
      <c r="DF160" s="50"/>
      <c r="DG160" s="50"/>
      <c r="DH160" s="50"/>
      <c r="DI160" s="50"/>
      <c r="DJ160" s="50"/>
      <c r="DK160" s="50"/>
      <c r="DL160" s="50"/>
      <c r="DM160" s="50"/>
      <c r="DN160" s="50"/>
      <c r="DO160" s="50"/>
      <c r="DP160" s="50"/>
      <c r="DQ160" s="50"/>
      <c r="DR160" s="50"/>
      <c r="DS160" s="50"/>
      <c r="DT160" s="50"/>
      <c r="DU160" s="50"/>
      <c r="DV160" s="50"/>
      <c r="DW160" s="50"/>
      <c r="DX160" s="50"/>
      <c r="DY160" s="50"/>
      <c r="DZ160" s="50"/>
      <c r="EA160" s="50"/>
      <c r="EB160" s="50"/>
      <c r="EC160" s="50"/>
      <c r="ED160" s="50"/>
      <c r="EE160" s="50"/>
      <c r="EF160" s="50"/>
      <c r="EG160" s="50"/>
      <c r="EH160" s="50"/>
      <c r="EI160" s="50"/>
      <c r="EJ160" s="50"/>
      <c r="EK160" s="50"/>
      <c r="EL160" s="50"/>
      <c r="EM160" s="50"/>
      <c r="EN160" s="50"/>
      <c r="EO160" s="50"/>
      <c r="EP160" s="50"/>
      <c r="EQ160" s="50"/>
      <c r="ER160" s="50"/>
      <c r="ES160" s="50"/>
      <c r="ET160" s="50"/>
      <c r="EU160" s="50"/>
      <c r="EV160" s="50"/>
      <c r="EW160" s="50"/>
      <c r="EX160" s="50"/>
      <c r="EY160" s="50"/>
      <c r="EZ160" s="50"/>
      <c r="FA160" s="50"/>
      <c r="FB160" s="50"/>
      <c r="FC160" s="50"/>
      <c r="FD160" s="50"/>
      <c r="FE160" s="50"/>
    </row>
    <row r="161" spans="1: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c r="CO161" s="50"/>
      <c r="CP161" s="50"/>
      <c r="CQ161" s="50"/>
      <c r="CR161" s="50"/>
      <c r="CS161" s="50"/>
      <c r="CT161" s="50"/>
      <c r="CU161" s="50"/>
      <c r="CV161" s="50"/>
      <c r="CW161" s="50"/>
      <c r="CX161" s="50"/>
      <c r="CY161" s="50"/>
      <c r="CZ161" s="50"/>
      <c r="DA161" s="50"/>
      <c r="DB161" s="50"/>
      <c r="DC161" s="50"/>
      <c r="DD161" s="50"/>
      <c r="DE161" s="50"/>
      <c r="DF161" s="50"/>
      <c r="DG161" s="50"/>
      <c r="DH161" s="50"/>
      <c r="DI161" s="50"/>
      <c r="DJ161" s="50"/>
      <c r="DK161" s="50"/>
      <c r="DL161" s="50"/>
      <c r="DM161" s="50"/>
      <c r="DN161" s="50"/>
      <c r="DO161" s="50"/>
      <c r="DP161" s="50"/>
      <c r="DQ161" s="50"/>
      <c r="DR161" s="50"/>
      <c r="DS161" s="50"/>
      <c r="DT161" s="50"/>
      <c r="DU161" s="50"/>
      <c r="DV161" s="50"/>
      <c r="DW161" s="50"/>
      <c r="DX161" s="50"/>
      <c r="DY161" s="50"/>
      <c r="DZ161" s="50"/>
      <c r="EA161" s="50"/>
      <c r="EB161" s="50"/>
      <c r="EC161" s="50"/>
      <c r="ED161" s="50"/>
      <c r="EE161" s="50"/>
      <c r="EF161" s="50"/>
      <c r="EG161" s="50"/>
      <c r="EH161" s="50"/>
      <c r="EI161" s="50"/>
      <c r="EJ161" s="50"/>
      <c r="EK161" s="50"/>
      <c r="EL161" s="50"/>
      <c r="EM161" s="50"/>
      <c r="EN161" s="50"/>
      <c r="EO161" s="50"/>
      <c r="EP161" s="50"/>
      <c r="EQ161" s="50"/>
      <c r="ER161" s="50"/>
      <c r="ES161" s="50"/>
      <c r="ET161" s="50"/>
      <c r="EU161" s="50"/>
      <c r="EV161" s="50"/>
      <c r="EW161" s="50"/>
      <c r="EX161" s="50"/>
      <c r="EY161" s="50"/>
      <c r="EZ161" s="50"/>
      <c r="FA161" s="50"/>
      <c r="FB161" s="50"/>
      <c r="FC161" s="50"/>
      <c r="FD161" s="50"/>
      <c r="FE161" s="50"/>
    </row>
    <row r="162" spans="1:16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c r="CR162" s="50"/>
      <c r="CS162" s="50"/>
      <c r="CT162" s="50"/>
      <c r="CU162" s="50"/>
      <c r="CV162" s="50"/>
      <c r="CW162" s="50"/>
      <c r="CX162" s="50"/>
      <c r="CY162" s="50"/>
      <c r="CZ162" s="50"/>
      <c r="DA162" s="50"/>
      <c r="DB162" s="50"/>
      <c r="DC162" s="50"/>
      <c r="DD162" s="50"/>
      <c r="DE162" s="50"/>
      <c r="DF162" s="50"/>
      <c r="DG162" s="50"/>
      <c r="DH162" s="50"/>
      <c r="DI162" s="50"/>
      <c r="DJ162" s="50"/>
      <c r="DK162" s="50"/>
      <c r="DL162" s="50"/>
      <c r="DM162" s="50"/>
      <c r="DN162" s="50"/>
      <c r="DO162" s="50"/>
      <c r="DP162" s="50"/>
      <c r="DQ162" s="50"/>
      <c r="DR162" s="50"/>
      <c r="DS162" s="50"/>
      <c r="DT162" s="50"/>
      <c r="DU162" s="50"/>
      <c r="DV162" s="50"/>
      <c r="DW162" s="50"/>
      <c r="DX162" s="50"/>
      <c r="DY162" s="50"/>
      <c r="DZ162" s="50"/>
      <c r="EA162" s="50"/>
      <c r="EB162" s="50"/>
      <c r="EC162" s="50"/>
      <c r="ED162" s="50"/>
      <c r="EE162" s="50"/>
      <c r="EF162" s="50"/>
      <c r="EG162" s="50"/>
      <c r="EH162" s="50"/>
      <c r="EI162" s="50"/>
      <c r="EJ162" s="50"/>
      <c r="EK162" s="50"/>
      <c r="EL162" s="50"/>
      <c r="EM162" s="50"/>
      <c r="EN162" s="50"/>
      <c r="EO162" s="50"/>
      <c r="EP162" s="50"/>
      <c r="EQ162" s="50"/>
      <c r="ER162" s="50"/>
      <c r="ES162" s="50"/>
      <c r="ET162" s="50"/>
      <c r="EU162" s="50"/>
      <c r="EV162" s="50"/>
      <c r="EW162" s="50"/>
      <c r="EX162" s="50"/>
      <c r="EY162" s="50"/>
      <c r="EZ162" s="50"/>
      <c r="FA162" s="50"/>
      <c r="FB162" s="50"/>
      <c r="FC162" s="50"/>
      <c r="FD162" s="50"/>
      <c r="FE162" s="50"/>
    </row>
    <row r="163" spans="1:16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c r="CO163" s="50"/>
      <c r="CP163" s="50"/>
      <c r="CQ163" s="50"/>
      <c r="CR163" s="50"/>
      <c r="CS163" s="50"/>
      <c r="CT163" s="50"/>
      <c r="CU163" s="50"/>
      <c r="CV163" s="50"/>
      <c r="CW163" s="50"/>
      <c r="CX163" s="50"/>
      <c r="CY163" s="50"/>
      <c r="CZ163" s="50"/>
      <c r="DA163" s="50"/>
      <c r="DB163" s="50"/>
      <c r="DC163" s="50"/>
      <c r="DD163" s="50"/>
      <c r="DE163" s="50"/>
      <c r="DF163" s="50"/>
      <c r="DG163" s="50"/>
      <c r="DH163" s="50"/>
      <c r="DI163" s="50"/>
      <c r="DJ163" s="50"/>
      <c r="DK163" s="50"/>
      <c r="DL163" s="50"/>
      <c r="DM163" s="50"/>
      <c r="DN163" s="50"/>
      <c r="DO163" s="50"/>
      <c r="DP163" s="50"/>
      <c r="DQ163" s="50"/>
      <c r="DR163" s="50"/>
      <c r="DS163" s="50"/>
      <c r="DT163" s="50"/>
      <c r="DU163" s="50"/>
      <c r="DV163" s="50"/>
      <c r="DW163" s="50"/>
      <c r="DX163" s="50"/>
      <c r="DY163" s="50"/>
      <c r="DZ163" s="50"/>
      <c r="EA163" s="50"/>
      <c r="EB163" s="50"/>
      <c r="EC163" s="50"/>
      <c r="ED163" s="50"/>
      <c r="EE163" s="50"/>
      <c r="EF163" s="50"/>
      <c r="EG163" s="50"/>
      <c r="EH163" s="50"/>
      <c r="EI163" s="50"/>
      <c r="EJ163" s="50"/>
      <c r="EK163" s="50"/>
      <c r="EL163" s="50"/>
      <c r="EM163" s="50"/>
      <c r="EN163" s="50"/>
      <c r="EO163" s="50"/>
      <c r="EP163" s="50"/>
      <c r="EQ163" s="50"/>
      <c r="ER163" s="50"/>
      <c r="ES163" s="50"/>
      <c r="ET163" s="50"/>
      <c r="EU163" s="50"/>
      <c r="EV163" s="50"/>
      <c r="EW163" s="50"/>
      <c r="EX163" s="50"/>
      <c r="EY163" s="50"/>
      <c r="EZ163" s="50"/>
      <c r="FA163" s="50"/>
      <c r="FB163" s="50"/>
      <c r="FC163" s="50"/>
      <c r="FD163" s="50"/>
      <c r="FE163" s="50"/>
    </row>
    <row r="164" spans="1:16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c r="CR164" s="50"/>
      <c r="CS164" s="50"/>
      <c r="CT164" s="50"/>
      <c r="CU164" s="50"/>
      <c r="CV164" s="50"/>
      <c r="CW164" s="50"/>
      <c r="CX164" s="50"/>
      <c r="CY164" s="50"/>
      <c r="CZ164" s="50"/>
      <c r="DA164" s="50"/>
      <c r="DB164" s="50"/>
      <c r="DC164" s="50"/>
      <c r="DD164" s="50"/>
      <c r="DE164" s="50"/>
      <c r="DF164" s="50"/>
      <c r="DG164" s="50"/>
      <c r="DH164" s="50"/>
      <c r="DI164" s="50"/>
      <c r="DJ164" s="50"/>
      <c r="DK164" s="50"/>
      <c r="DL164" s="50"/>
      <c r="DM164" s="50"/>
      <c r="DN164" s="50"/>
      <c r="DO164" s="50"/>
      <c r="DP164" s="50"/>
      <c r="DQ164" s="50"/>
      <c r="DR164" s="50"/>
      <c r="DS164" s="50"/>
      <c r="DT164" s="50"/>
      <c r="DU164" s="50"/>
      <c r="DV164" s="50"/>
      <c r="DW164" s="50"/>
      <c r="DX164" s="50"/>
      <c r="DY164" s="50"/>
      <c r="DZ164" s="50"/>
      <c r="EA164" s="50"/>
      <c r="EB164" s="50"/>
      <c r="EC164" s="50"/>
      <c r="ED164" s="50"/>
      <c r="EE164" s="50"/>
      <c r="EF164" s="50"/>
      <c r="EG164" s="50"/>
      <c r="EH164" s="50"/>
      <c r="EI164" s="50"/>
      <c r="EJ164" s="50"/>
      <c r="EK164" s="50"/>
      <c r="EL164" s="50"/>
      <c r="EM164" s="50"/>
      <c r="EN164" s="50"/>
      <c r="EO164" s="50"/>
      <c r="EP164" s="50"/>
      <c r="EQ164" s="50"/>
      <c r="ER164" s="50"/>
      <c r="ES164" s="50"/>
      <c r="ET164" s="50"/>
      <c r="EU164" s="50"/>
      <c r="EV164" s="50"/>
      <c r="EW164" s="50"/>
      <c r="EX164" s="50"/>
      <c r="EY164" s="50"/>
      <c r="EZ164" s="50"/>
      <c r="FA164" s="50"/>
      <c r="FB164" s="50"/>
      <c r="FC164" s="50"/>
      <c r="FD164" s="50"/>
      <c r="FE164" s="50"/>
    </row>
    <row r="165" spans="1:16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c r="CO165" s="50"/>
      <c r="CP165" s="50"/>
      <c r="CQ165" s="50"/>
      <c r="CR165" s="50"/>
      <c r="CS165" s="50"/>
      <c r="CT165" s="50"/>
      <c r="CU165" s="50"/>
      <c r="CV165" s="50"/>
      <c r="CW165" s="50"/>
      <c r="CX165" s="50"/>
      <c r="CY165" s="50"/>
      <c r="CZ165" s="50"/>
      <c r="DA165" s="50"/>
      <c r="DB165" s="50"/>
      <c r="DC165" s="50"/>
      <c r="DD165" s="50"/>
      <c r="DE165" s="50"/>
      <c r="DF165" s="50"/>
      <c r="DG165" s="50"/>
      <c r="DH165" s="50"/>
      <c r="DI165" s="50"/>
      <c r="DJ165" s="50"/>
      <c r="DK165" s="50"/>
      <c r="DL165" s="50"/>
      <c r="DM165" s="50"/>
      <c r="DN165" s="50"/>
      <c r="DO165" s="50"/>
      <c r="DP165" s="50"/>
      <c r="DQ165" s="50"/>
      <c r="DR165" s="50"/>
      <c r="DS165" s="50"/>
      <c r="DT165" s="50"/>
      <c r="DU165" s="50"/>
      <c r="DV165" s="50"/>
      <c r="DW165" s="50"/>
      <c r="DX165" s="50"/>
      <c r="DY165" s="50"/>
      <c r="DZ165" s="50"/>
      <c r="EA165" s="50"/>
      <c r="EB165" s="50"/>
      <c r="EC165" s="50"/>
      <c r="ED165" s="50"/>
      <c r="EE165" s="50"/>
      <c r="EF165" s="50"/>
      <c r="EG165" s="50"/>
      <c r="EH165" s="50"/>
      <c r="EI165" s="50"/>
      <c r="EJ165" s="50"/>
      <c r="EK165" s="50"/>
      <c r="EL165" s="50"/>
      <c r="EM165" s="50"/>
      <c r="EN165" s="50"/>
      <c r="EO165" s="50"/>
      <c r="EP165" s="50"/>
      <c r="EQ165" s="50"/>
      <c r="ER165" s="50"/>
      <c r="ES165" s="50"/>
      <c r="ET165" s="50"/>
      <c r="EU165" s="50"/>
      <c r="EV165" s="50"/>
      <c r="EW165" s="50"/>
      <c r="EX165" s="50"/>
      <c r="EY165" s="50"/>
      <c r="EZ165" s="50"/>
      <c r="FA165" s="50"/>
      <c r="FB165" s="50"/>
      <c r="FC165" s="50"/>
      <c r="FD165" s="50"/>
      <c r="FE165" s="50"/>
    </row>
    <row r="166" spans="1:16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c r="CO166" s="50"/>
      <c r="CP166" s="50"/>
      <c r="CQ166" s="50"/>
      <c r="CR166" s="50"/>
      <c r="CS166" s="50"/>
      <c r="CT166" s="50"/>
      <c r="CU166" s="50"/>
      <c r="CV166" s="50"/>
      <c r="CW166" s="50"/>
      <c r="CX166" s="50"/>
      <c r="CY166" s="50"/>
      <c r="CZ166" s="50"/>
      <c r="DA166" s="50"/>
      <c r="DB166" s="50"/>
      <c r="DC166" s="50"/>
      <c r="DD166" s="50"/>
      <c r="DE166" s="50"/>
      <c r="DF166" s="50"/>
      <c r="DG166" s="50"/>
      <c r="DH166" s="50"/>
      <c r="DI166" s="50"/>
      <c r="DJ166" s="50"/>
      <c r="DK166" s="50"/>
      <c r="DL166" s="50"/>
      <c r="DM166" s="50"/>
      <c r="DN166" s="50"/>
      <c r="DO166" s="50"/>
      <c r="DP166" s="50"/>
      <c r="DQ166" s="50"/>
      <c r="DR166" s="50"/>
      <c r="DS166" s="50"/>
      <c r="DT166" s="50"/>
      <c r="DU166" s="50"/>
      <c r="DV166" s="50"/>
      <c r="DW166" s="50"/>
      <c r="DX166" s="50"/>
      <c r="DY166" s="50"/>
      <c r="DZ166" s="50"/>
      <c r="EA166" s="50"/>
      <c r="EB166" s="50"/>
      <c r="EC166" s="50"/>
      <c r="ED166" s="50"/>
      <c r="EE166" s="50"/>
      <c r="EF166" s="50"/>
      <c r="EG166" s="50"/>
      <c r="EH166" s="50"/>
      <c r="EI166" s="50"/>
      <c r="EJ166" s="50"/>
      <c r="EK166" s="50"/>
      <c r="EL166" s="50"/>
      <c r="EM166" s="50"/>
      <c r="EN166" s="50"/>
      <c r="EO166" s="50"/>
      <c r="EP166" s="50"/>
      <c r="EQ166" s="50"/>
      <c r="ER166" s="50"/>
      <c r="ES166" s="50"/>
      <c r="ET166" s="50"/>
      <c r="EU166" s="50"/>
      <c r="EV166" s="50"/>
      <c r="EW166" s="50"/>
      <c r="EX166" s="50"/>
      <c r="EY166" s="50"/>
      <c r="EZ166" s="50"/>
      <c r="FA166" s="50"/>
      <c r="FB166" s="50"/>
      <c r="FC166" s="50"/>
      <c r="FD166" s="50"/>
      <c r="FE166" s="50"/>
    </row>
    <row r="167" spans="1:16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c r="CO167" s="50"/>
      <c r="CP167" s="50"/>
      <c r="CQ167" s="50"/>
      <c r="CR167" s="50"/>
      <c r="CS167" s="50"/>
      <c r="CT167" s="50"/>
      <c r="CU167" s="50"/>
      <c r="CV167" s="50"/>
      <c r="CW167" s="50"/>
      <c r="CX167" s="50"/>
      <c r="CY167" s="50"/>
      <c r="CZ167" s="50"/>
      <c r="DA167" s="50"/>
      <c r="DB167" s="50"/>
      <c r="DC167" s="50"/>
      <c r="DD167" s="50"/>
      <c r="DE167" s="50"/>
      <c r="DF167" s="50"/>
      <c r="DG167" s="50"/>
      <c r="DH167" s="50"/>
      <c r="DI167" s="50"/>
      <c r="DJ167" s="50"/>
      <c r="DK167" s="50"/>
      <c r="DL167" s="50"/>
      <c r="DM167" s="50"/>
      <c r="DN167" s="50"/>
      <c r="DO167" s="50"/>
      <c r="DP167" s="50"/>
      <c r="DQ167" s="50"/>
      <c r="DR167" s="50"/>
      <c r="DS167" s="50"/>
      <c r="DT167" s="50"/>
      <c r="DU167" s="50"/>
      <c r="DV167" s="50"/>
      <c r="DW167" s="50"/>
      <c r="DX167" s="50"/>
      <c r="DY167" s="50"/>
      <c r="DZ167" s="50"/>
      <c r="EA167" s="50"/>
      <c r="EB167" s="50"/>
      <c r="EC167" s="50"/>
      <c r="ED167" s="50"/>
      <c r="EE167" s="50"/>
      <c r="EF167" s="50"/>
      <c r="EG167" s="50"/>
      <c r="EH167" s="50"/>
      <c r="EI167" s="50"/>
      <c r="EJ167" s="50"/>
      <c r="EK167" s="50"/>
      <c r="EL167" s="50"/>
      <c r="EM167" s="50"/>
      <c r="EN167" s="50"/>
      <c r="EO167" s="50"/>
      <c r="EP167" s="50"/>
      <c r="EQ167" s="50"/>
      <c r="ER167" s="50"/>
      <c r="ES167" s="50"/>
      <c r="ET167" s="50"/>
      <c r="EU167" s="50"/>
      <c r="EV167" s="50"/>
      <c r="EW167" s="50"/>
      <c r="EX167" s="50"/>
      <c r="EY167" s="50"/>
      <c r="EZ167" s="50"/>
      <c r="FA167" s="50"/>
      <c r="FB167" s="50"/>
      <c r="FC167" s="50"/>
      <c r="FD167" s="50"/>
      <c r="FE167" s="50"/>
    </row>
    <row r="168" spans="1:16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c r="CO168" s="50"/>
      <c r="CP168" s="50"/>
      <c r="CQ168" s="50"/>
      <c r="CR168" s="50"/>
      <c r="CS168" s="50"/>
      <c r="CT168" s="50"/>
      <c r="CU168" s="50"/>
      <c r="CV168" s="50"/>
      <c r="CW168" s="50"/>
      <c r="CX168" s="50"/>
      <c r="CY168" s="50"/>
      <c r="CZ168" s="50"/>
      <c r="DA168" s="50"/>
      <c r="DB168" s="50"/>
      <c r="DC168" s="50"/>
      <c r="DD168" s="50"/>
      <c r="DE168" s="50"/>
      <c r="DF168" s="50"/>
      <c r="DG168" s="50"/>
      <c r="DH168" s="50"/>
      <c r="DI168" s="50"/>
      <c r="DJ168" s="50"/>
      <c r="DK168" s="50"/>
      <c r="DL168" s="50"/>
      <c r="DM168" s="50"/>
      <c r="DN168" s="50"/>
      <c r="DO168" s="50"/>
      <c r="DP168" s="50"/>
      <c r="DQ168" s="50"/>
      <c r="DR168" s="50"/>
      <c r="DS168" s="50"/>
      <c r="DT168" s="50"/>
      <c r="DU168" s="50"/>
      <c r="DV168" s="50"/>
      <c r="DW168" s="50"/>
      <c r="DX168" s="50"/>
      <c r="DY168" s="50"/>
      <c r="DZ168" s="50"/>
      <c r="EA168" s="50"/>
      <c r="EB168" s="50"/>
      <c r="EC168" s="50"/>
      <c r="ED168" s="50"/>
      <c r="EE168" s="50"/>
      <c r="EF168" s="50"/>
      <c r="EG168" s="50"/>
      <c r="EH168" s="50"/>
      <c r="EI168" s="50"/>
      <c r="EJ168" s="50"/>
      <c r="EK168" s="50"/>
      <c r="EL168" s="50"/>
      <c r="EM168" s="50"/>
      <c r="EN168" s="50"/>
      <c r="EO168" s="50"/>
      <c r="EP168" s="50"/>
      <c r="EQ168" s="50"/>
      <c r="ER168" s="50"/>
      <c r="ES168" s="50"/>
      <c r="ET168" s="50"/>
      <c r="EU168" s="50"/>
      <c r="EV168" s="50"/>
      <c r="EW168" s="50"/>
      <c r="EX168" s="50"/>
      <c r="EY168" s="50"/>
      <c r="EZ168" s="50"/>
      <c r="FA168" s="50"/>
      <c r="FB168" s="50"/>
      <c r="FC168" s="50"/>
      <c r="FD168" s="50"/>
      <c r="FE168" s="50"/>
    </row>
    <row r="169" spans="1:16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c r="CO169" s="50"/>
      <c r="CP169" s="50"/>
      <c r="CQ169" s="50"/>
      <c r="CR169" s="50"/>
      <c r="CS169" s="50"/>
      <c r="CT169" s="50"/>
      <c r="CU169" s="50"/>
      <c r="CV169" s="50"/>
      <c r="CW169" s="50"/>
      <c r="CX169" s="50"/>
      <c r="CY169" s="50"/>
      <c r="CZ169" s="50"/>
      <c r="DA169" s="50"/>
      <c r="DB169" s="50"/>
      <c r="DC169" s="50"/>
      <c r="DD169" s="50"/>
      <c r="DE169" s="50"/>
      <c r="DF169" s="50"/>
      <c r="DG169" s="50"/>
      <c r="DH169" s="50"/>
      <c r="DI169" s="50"/>
      <c r="DJ169" s="50"/>
      <c r="DK169" s="50"/>
      <c r="DL169" s="50"/>
      <c r="DM169" s="50"/>
      <c r="DN169" s="50"/>
      <c r="DO169" s="50"/>
      <c r="DP169" s="50"/>
      <c r="DQ169" s="50"/>
      <c r="DR169" s="50"/>
      <c r="DS169" s="50"/>
      <c r="DT169" s="50"/>
      <c r="DU169" s="50"/>
      <c r="DV169" s="50"/>
      <c r="DW169" s="50"/>
      <c r="DX169" s="50"/>
      <c r="DY169" s="50"/>
      <c r="DZ169" s="50"/>
      <c r="EA169" s="50"/>
      <c r="EB169" s="50"/>
      <c r="EC169" s="50"/>
      <c r="ED169" s="50"/>
      <c r="EE169" s="50"/>
      <c r="EF169" s="50"/>
      <c r="EG169" s="50"/>
      <c r="EH169" s="50"/>
      <c r="EI169" s="50"/>
      <c r="EJ169" s="50"/>
      <c r="EK169" s="50"/>
      <c r="EL169" s="50"/>
      <c r="EM169" s="50"/>
      <c r="EN169" s="50"/>
      <c r="EO169" s="50"/>
      <c r="EP169" s="50"/>
      <c r="EQ169" s="50"/>
      <c r="ER169" s="50"/>
      <c r="ES169" s="50"/>
      <c r="ET169" s="50"/>
      <c r="EU169" s="50"/>
      <c r="EV169" s="50"/>
      <c r="EW169" s="50"/>
      <c r="EX169" s="50"/>
      <c r="EY169" s="50"/>
      <c r="EZ169" s="50"/>
      <c r="FA169" s="50"/>
      <c r="FB169" s="50"/>
      <c r="FC169" s="50"/>
      <c r="FD169" s="50"/>
      <c r="FE169" s="50"/>
    </row>
    <row r="170" spans="1:16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c r="CR170" s="50"/>
      <c r="CS170" s="50"/>
      <c r="CT170" s="50"/>
      <c r="CU170" s="50"/>
      <c r="CV170" s="50"/>
      <c r="CW170" s="50"/>
      <c r="CX170" s="50"/>
      <c r="CY170" s="50"/>
      <c r="CZ170" s="50"/>
      <c r="DA170" s="50"/>
      <c r="DB170" s="50"/>
      <c r="DC170" s="50"/>
      <c r="DD170" s="50"/>
      <c r="DE170" s="50"/>
      <c r="DF170" s="50"/>
      <c r="DG170" s="50"/>
      <c r="DH170" s="50"/>
      <c r="DI170" s="50"/>
      <c r="DJ170" s="50"/>
      <c r="DK170" s="50"/>
      <c r="DL170" s="50"/>
      <c r="DM170" s="50"/>
      <c r="DN170" s="50"/>
      <c r="DO170" s="50"/>
      <c r="DP170" s="50"/>
      <c r="DQ170" s="50"/>
      <c r="DR170" s="50"/>
      <c r="DS170" s="50"/>
      <c r="DT170" s="50"/>
      <c r="DU170" s="50"/>
      <c r="DV170" s="50"/>
      <c r="DW170" s="50"/>
      <c r="DX170" s="50"/>
      <c r="DY170" s="50"/>
      <c r="DZ170" s="50"/>
      <c r="EA170" s="50"/>
      <c r="EB170" s="50"/>
      <c r="EC170" s="50"/>
      <c r="ED170" s="50"/>
      <c r="EE170" s="50"/>
      <c r="EF170" s="50"/>
      <c r="EG170" s="50"/>
      <c r="EH170" s="50"/>
      <c r="EI170" s="50"/>
      <c r="EJ170" s="50"/>
      <c r="EK170" s="50"/>
      <c r="EL170" s="50"/>
      <c r="EM170" s="50"/>
      <c r="EN170" s="50"/>
      <c r="EO170" s="50"/>
      <c r="EP170" s="50"/>
      <c r="EQ170" s="50"/>
      <c r="ER170" s="50"/>
      <c r="ES170" s="50"/>
      <c r="ET170" s="50"/>
      <c r="EU170" s="50"/>
      <c r="EV170" s="50"/>
      <c r="EW170" s="50"/>
      <c r="EX170" s="50"/>
      <c r="EY170" s="50"/>
      <c r="EZ170" s="50"/>
      <c r="FA170" s="50"/>
      <c r="FB170" s="50"/>
      <c r="FC170" s="50"/>
      <c r="FD170" s="50"/>
      <c r="FE170" s="50"/>
    </row>
    <row r="171" spans="1:16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c r="CO171" s="50"/>
      <c r="CP171" s="50"/>
      <c r="CQ171" s="50"/>
      <c r="CR171" s="50"/>
      <c r="CS171" s="50"/>
      <c r="CT171" s="50"/>
      <c r="CU171" s="50"/>
      <c r="CV171" s="50"/>
      <c r="CW171" s="50"/>
      <c r="CX171" s="50"/>
      <c r="CY171" s="50"/>
      <c r="CZ171" s="50"/>
      <c r="DA171" s="50"/>
      <c r="DB171" s="50"/>
      <c r="DC171" s="50"/>
      <c r="DD171" s="50"/>
      <c r="DE171" s="50"/>
      <c r="DF171" s="50"/>
      <c r="DG171" s="50"/>
      <c r="DH171" s="50"/>
      <c r="DI171" s="50"/>
      <c r="DJ171" s="50"/>
      <c r="DK171" s="50"/>
      <c r="DL171" s="50"/>
      <c r="DM171" s="50"/>
      <c r="DN171" s="50"/>
      <c r="DO171" s="50"/>
      <c r="DP171" s="50"/>
      <c r="DQ171" s="50"/>
      <c r="DR171" s="50"/>
      <c r="DS171" s="50"/>
      <c r="DT171" s="50"/>
      <c r="DU171" s="50"/>
      <c r="DV171" s="50"/>
      <c r="DW171" s="50"/>
      <c r="DX171" s="50"/>
      <c r="DY171" s="50"/>
      <c r="DZ171" s="50"/>
      <c r="EA171" s="50"/>
      <c r="EB171" s="50"/>
      <c r="EC171" s="50"/>
      <c r="ED171" s="50"/>
      <c r="EE171" s="50"/>
      <c r="EF171" s="50"/>
      <c r="EG171" s="50"/>
      <c r="EH171" s="50"/>
      <c r="EI171" s="50"/>
      <c r="EJ171" s="50"/>
      <c r="EK171" s="50"/>
      <c r="EL171" s="50"/>
      <c r="EM171" s="50"/>
      <c r="EN171" s="50"/>
      <c r="EO171" s="50"/>
      <c r="EP171" s="50"/>
      <c r="EQ171" s="50"/>
      <c r="ER171" s="50"/>
      <c r="ES171" s="50"/>
      <c r="ET171" s="50"/>
      <c r="EU171" s="50"/>
      <c r="EV171" s="50"/>
      <c r="EW171" s="50"/>
      <c r="EX171" s="50"/>
      <c r="EY171" s="50"/>
      <c r="EZ171" s="50"/>
      <c r="FA171" s="50"/>
      <c r="FB171" s="50"/>
      <c r="FC171" s="50"/>
      <c r="FD171" s="50"/>
      <c r="FE171" s="50"/>
    </row>
    <row r="172" spans="1:16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c r="CO172" s="50"/>
      <c r="CP172" s="50"/>
      <c r="CQ172" s="50"/>
      <c r="CR172" s="50"/>
      <c r="CS172" s="50"/>
      <c r="CT172" s="50"/>
      <c r="CU172" s="50"/>
      <c r="CV172" s="50"/>
      <c r="CW172" s="50"/>
      <c r="CX172" s="50"/>
      <c r="CY172" s="50"/>
      <c r="CZ172" s="50"/>
      <c r="DA172" s="50"/>
      <c r="DB172" s="50"/>
      <c r="DC172" s="50"/>
      <c r="DD172" s="50"/>
      <c r="DE172" s="50"/>
      <c r="DF172" s="50"/>
      <c r="DG172" s="50"/>
      <c r="DH172" s="50"/>
      <c r="DI172" s="50"/>
      <c r="DJ172" s="50"/>
      <c r="DK172" s="50"/>
      <c r="DL172" s="50"/>
      <c r="DM172" s="50"/>
      <c r="DN172" s="50"/>
      <c r="DO172" s="50"/>
      <c r="DP172" s="50"/>
      <c r="DQ172" s="50"/>
      <c r="DR172" s="50"/>
      <c r="DS172" s="50"/>
      <c r="DT172" s="50"/>
      <c r="DU172" s="50"/>
      <c r="DV172" s="50"/>
      <c r="DW172" s="50"/>
      <c r="DX172" s="50"/>
      <c r="DY172" s="50"/>
      <c r="DZ172" s="50"/>
      <c r="EA172" s="50"/>
      <c r="EB172" s="50"/>
      <c r="EC172" s="50"/>
      <c r="ED172" s="50"/>
      <c r="EE172" s="50"/>
      <c r="EF172" s="50"/>
      <c r="EG172" s="50"/>
      <c r="EH172" s="50"/>
      <c r="EI172" s="50"/>
      <c r="EJ172" s="50"/>
      <c r="EK172" s="50"/>
      <c r="EL172" s="50"/>
      <c r="EM172" s="50"/>
      <c r="EN172" s="50"/>
      <c r="EO172" s="50"/>
      <c r="EP172" s="50"/>
      <c r="EQ172" s="50"/>
      <c r="ER172" s="50"/>
      <c r="ES172" s="50"/>
      <c r="ET172" s="50"/>
      <c r="EU172" s="50"/>
      <c r="EV172" s="50"/>
      <c r="EW172" s="50"/>
      <c r="EX172" s="50"/>
      <c r="EY172" s="50"/>
      <c r="EZ172" s="50"/>
      <c r="FA172" s="50"/>
      <c r="FB172" s="50"/>
      <c r="FC172" s="50"/>
      <c r="FD172" s="50"/>
      <c r="FE172" s="50"/>
    </row>
    <row r="173" spans="1:16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c r="CO173" s="50"/>
      <c r="CP173" s="50"/>
      <c r="CQ173" s="50"/>
      <c r="CR173" s="50"/>
      <c r="CS173" s="50"/>
      <c r="CT173" s="50"/>
      <c r="CU173" s="50"/>
      <c r="CV173" s="50"/>
      <c r="CW173" s="50"/>
      <c r="CX173" s="50"/>
      <c r="CY173" s="50"/>
      <c r="CZ173" s="50"/>
      <c r="DA173" s="50"/>
      <c r="DB173" s="50"/>
      <c r="DC173" s="50"/>
      <c r="DD173" s="50"/>
      <c r="DE173" s="50"/>
      <c r="DF173" s="50"/>
      <c r="DG173" s="50"/>
      <c r="DH173" s="50"/>
      <c r="DI173" s="50"/>
      <c r="DJ173" s="50"/>
      <c r="DK173" s="50"/>
      <c r="DL173" s="50"/>
      <c r="DM173" s="50"/>
      <c r="DN173" s="50"/>
      <c r="DO173" s="50"/>
      <c r="DP173" s="50"/>
      <c r="DQ173" s="50"/>
      <c r="DR173" s="50"/>
      <c r="DS173" s="50"/>
      <c r="DT173" s="50"/>
      <c r="DU173" s="50"/>
      <c r="DV173" s="50"/>
      <c r="DW173" s="50"/>
      <c r="DX173" s="50"/>
      <c r="DY173" s="50"/>
      <c r="DZ173" s="50"/>
      <c r="EA173" s="50"/>
      <c r="EB173" s="50"/>
      <c r="EC173" s="50"/>
      <c r="ED173" s="50"/>
      <c r="EE173" s="50"/>
      <c r="EF173" s="50"/>
      <c r="EG173" s="50"/>
      <c r="EH173" s="50"/>
      <c r="EI173" s="50"/>
      <c r="EJ173" s="50"/>
      <c r="EK173" s="50"/>
      <c r="EL173" s="50"/>
      <c r="EM173" s="50"/>
      <c r="EN173" s="50"/>
      <c r="EO173" s="50"/>
      <c r="EP173" s="50"/>
      <c r="EQ173" s="50"/>
      <c r="ER173" s="50"/>
      <c r="ES173" s="50"/>
      <c r="ET173" s="50"/>
      <c r="EU173" s="50"/>
      <c r="EV173" s="50"/>
      <c r="EW173" s="50"/>
      <c r="EX173" s="50"/>
      <c r="EY173" s="50"/>
      <c r="EZ173" s="50"/>
      <c r="FA173" s="50"/>
      <c r="FB173" s="50"/>
      <c r="FC173" s="50"/>
      <c r="FD173" s="50"/>
      <c r="FE173" s="50"/>
    </row>
    <row r="174" spans="1:16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50"/>
      <c r="CZ174" s="50"/>
      <c r="DA174" s="50"/>
      <c r="DB174" s="50"/>
      <c r="DC174" s="50"/>
      <c r="DD174" s="50"/>
      <c r="DE174" s="50"/>
      <c r="DF174" s="50"/>
      <c r="DG174" s="50"/>
      <c r="DH174" s="50"/>
      <c r="DI174" s="50"/>
      <c r="DJ174" s="50"/>
      <c r="DK174" s="50"/>
      <c r="DL174" s="50"/>
      <c r="DM174" s="50"/>
      <c r="DN174" s="50"/>
      <c r="DO174" s="50"/>
      <c r="DP174" s="50"/>
      <c r="DQ174" s="50"/>
      <c r="DR174" s="50"/>
      <c r="DS174" s="50"/>
      <c r="DT174" s="50"/>
      <c r="DU174" s="50"/>
      <c r="DV174" s="50"/>
      <c r="DW174" s="50"/>
      <c r="DX174" s="50"/>
      <c r="DY174" s="50"/>
      <c r="DZ174" s="50"/>
      <c r="EA174" s="50"/>
      <c r="EB174" s="50"/>
      <c r="EC174" s="50"/>
      <c r="ED174" s="50"/>
      <c r="EE174" s="50"/>
      <c r="EF174" s="50"/>
      <c r="EG174" s="50"/>
      <c r="EH174" s="50"/>
      <c r="EI174" s="50"/>
      <c r="EJ174" s="50"/>
      <c r="EK174" s="50"/>
      <c r="EL174" s="50"/>
      <c r="EM174" s="50"/>
      <c r="EN174" s="50"/>
      <c r="EO174" s="50"/>
      <c r="EP174" s="50"/>
      <c r="EQ174" s="50"/>
      <c r="ER174" s="50"/>
      <c r="ES174" s="50"/>
      <c r="ET174" s="50"/>
      <c r="EU174" s="50"/>
      <c r="EV174" s="50"/>
      <c r="EW174" s="50"/>
      <c r="EX174" s="50"/>
      <c r="EY174" s="50"/>
      <c r="EZ174" s="50"/>
      <c r="FA174" s="50"/>
      <c r="FB174" s="50"/>
      <c r="FC174" s="50"/>
      <c r="FD174" s="50"/>
      <c r="FE174" s="50"/>
    </row>
    <row r="175" spans="1:16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c r="CO175" s="50"/>
      <c r="CP175" s="50"/>
      <c r="CQ175" s="50"/>
      <c r="CR175" s="50"/>
      <c r="CS175" s="50"/>
      <c r="CT175" s="50"/>
      <c r="CU175" s="50"/>
      <c r="CV175" s="50"/>
      <c r="CW175" s="50"/>
      <c r="CX175" s="50"/>
      <c r="CY175" s="50"/>
      <c r="CZ175" s="50"/>
      <c r="DA175" s="50"/>
      <c r="DB175" s="50"/>
      <c r="DC175" s="50"/>
      <c r="DD175" s="50"/>
      <c r="DE175" s="50"/>
      <c r="DF175" s="50"/>
      <c r="DG175" s="50"/>
      <c r="DH175" s="50"/>
      <c r="DI175" s="50"/>
      <c r="DJ175" s="50"/>
      <c r="DK175" s="50"/>
      <c r="DL175" s="50"/>
      <c r="DM175" s="50"/>
      <c r="DN175" s="50"/>
      <c r="DO175" s="50"/>
      <c r="DP175" s="50"/>
      <c r="DQ175" s="50"/>
      <c r="DR175" s="50"/>
      <c r="DS175" s="50"/>
      <c r="DT175" s="50"/>
      <c r="DU175" s="50"/>
      <c r="DV175" s="50"/>
      <c r="DW175" s="50"/>
      <c r="DX175" s="50"/>
      <c r="DY175" s="50"/>
      <c r="DZ175" s="50"/>
      <c r="EA175" s="50"/>
      <c r="EB175" s="50"/>
      <c r="EC175" s="50"/>
      <c r="ED175" s="50"/>
      <c r="EE175" s="50"/>
      <c r="EF175" s="50"/>
      <c r="EG175" s="50"/>
      <c r="EH175" s="50"/>
      <c r="EI175" s="50"/>
      <c r="EJ175" s="50"/>
      <c r="EK175" s="50"/>
      <c r="EL175" s="50"/>
      <c r="EM175" s="50"/>
      <c r="EN175" s="50"/>
      <c r="EO175" s="50"/>
      <c r="EP175" s="50"/>
      <c r="EQ175" s="50"/>
      <c r="ER175" s="50"/>
      <c r="ES175" s="50"/>
      <c r="ET175" s="50"/>
      <c r="EU175" s="50"/>
      <c r="EV175" s="50"/>
      <c r="EW175" s="50"/>
      <c r="EX175" s="50"/>
      <c r="EY175" s="50"/>
      <c r="EZ175" s="50"/>
      <c r="FA175" s="50"/>
      <c r="FB175" s="50"/>
      <c r="FC175" s="50"/>
      <c r="FD175" s="50"/>
      <c r="FE175" s="50"/>
    </row>
    <row r="176" spans="1:16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c r="CO176" s="50"/>
      <c r="CP176" s="50"/>
      <c r="CQ176" s="50"/>
      <c r="CR176" s="50"/>
      <c r="CS176" s="50"/>
      <c r="CT176" s="50"/>
      <c r="CU176" s="50"/>
      <c r="CV176" s="50"/>
      <c r="CW176" s="50"/>
      <c r="CX176" s="50"/>
      <c r="CY176" s="50"/>
      <c r="CZ176" s="50"/>
      <c r="DA176" s="50"/>
      <c r="DB176" s="50"/>
      <c r="DC176" s="50"/>
      <c r="DD176" s="50"/>
      <c r="DE176" s="50"/>
      <c r="DF176" s="50"/>
      <c r="DG176" s="50"/>
      <c r="DH176" s="50"/>
      <c r="DI176" s="50"/>
      <c r="DJ176" s="50"/>
      <c r="DK176" s="50"/>
      <c r="DL176" s="50"/>
      <c r="DM176" s="50"/>
      <c r="DN176" s="50"/>
      <c r="DO176" s="50"/>
      <c r="DP176" s="50"/>
      <c r="DQ176" s="50"/>
      <c r="DR176" s="50"/>
      <c r="DS176" s="50"/>
      <c r="DT176" s="50"/>
      <c r="DU176" s="50"/>
      <c r="DV176" s="50"/>
      <c r="DW176" s="50"/>
      <c r="DX176" s="50"/>
      <c r="DY176" s="50"/>
      <c r="DZ176" s="50"/>
      <c r="EA176" s="50"/>
      <c r="EB176" s="50"/>
      <c r="EC176" s="50"/>
      <c r="ED176" s="50"/>
      <c r="EE176" s="50"/>
      <c r="EF176" s="50"/>
      <c r="EG176" s="50"/>
      <c r="EH176" s="50"/>
      <c r="EI176" s="50"/>
      <c r="EJ176" s="50"/>
      <c r="EK176" s="50"/>
      <c r="EL176" s="50"/>
      <c r="EM176" s="50"/>
      <c r="EN176" s="50"/>
      <c r="EO176" s="50"/>
      <c r="EP176" s="50"/>
      <c r="EQ176" s="50"/>
      <c r="ER176" s="50"/>
      <c r="ES176" s="50"/>
      <c r="ET176" s="50"/>
      <c r="EU176" s="50"/>
      <c r="EV176" s="50"/>
      <c r="EW176" s="50"/>
      <c r="EX176" s="50"/>
      <c r="EY176" s="50"/>
      <c r="EZ176" s="50"/>
      <c r="FA176" s="50"/>
      <c r="FB176" s="50"/>
      <c r="FC176" s="50"/>
      <c r="FD176" s="50"/>
      <c r="FE176" s="50"/>
    </row>
    <row r="177" spans="1:16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c r="CO177" s="50"/>
      <c r="CP177" s="50"/>
      <c r="CQ177" s="50"/>
      <c r="CR177" s="50"/>
      <c r="CS177" s="50"/>
      <c r="CT177" s="50"/>
      <c r="CU177" s="50"/>
      <c r="CV177" s="50"/>
      <c r="CW177" s="50"/>
      <c r="CX177" s="50"/>
      <c r="CY177" s="50"/>
      <c r="CZ177" s="50"/>
      <c r="DA177" s="50"/>
      <c r="DB177" s="50"/>
      <c r="DC177" s="50"/>
      <c r="DD177" s="50"/>
      <c r="DE177" s="50"/>
      <c r="DF177" s="50"/>
      <c r="DG177" s="50"/>
      <c r="DH177" s="50"/>
      <c r="DI177" s="50"/>
      <c r="DJ177" s="50"/>
      <c r="DK177" s="50"/>
      <c r="DL177" s="50"/>
      <c r="DM177" s="50"/>
      <c r="DN177" s="50"/>
      <c r="DO177" s="50"/>
      <c r="DP177" s="50"/>
      <c r="DQ177" s="50"/>
      <c r="DR177" s="50"/>
      <c r="DS177" s="50"/>
      <c r="DT177" s="50"/>
      <c r="DU177" s="50"/>
      <c r="DV177" s="50"/>
      <c r="DW177" s="50"/>
      <c r="DX177" s="50"/>
      <c r="DY177" s="50"/>
      <c r="DZ177" s="50"/>
      <c r="EA177" s="50"/>
      <c r="EB177" s="50"/>
      <c r="EC177" s="50"/>
      <c r="ED177" s="50"/>
      <c r="EE177" s="50"/>
      <c r="EF177" s="50"/>
      <c r="EG177" s="50"/>
      <c r="EH177" s="50"/>
      <c r="EI177" s="50"/>
      <c r="EJ177" s="50"/>
      <c r="EK177" s="50"/>
      <c r="EL177" s="50"/>
      <c r="EM177" s="50"/>
      <c r="EN177" s="50"/>
      <c r="EO177" s="50"/>
      <c r="EP177" s="50"/>
      <c r="EQ177" s="50"/>
      <c r="ER177" s="50"/>
      <c r="ES177" s="50"/>
      <c r="ET177" s="50"/>
      <c r="EU177" s="50"/>
      <c r="EV177" s="50"/>
      <c r="EW177" s="50"/>
      <c r="EX177" s="50"/>
      <c r="EY177" s="50"/>
      <c r="EZ177" s="50"/>
      <c r="FA177" s="50"/>
      <c r="FB177" s="50"/>
      <c r="FC177" s="50"/>
      <c r="FD177" s="50"/>
      <c r="FE177" s="50"/>
    </row>
    <row r="178" spans="1:16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c r="CO178" s="50"/>
      <c r="CP178" s="50"/>
      <c r="CQ178" s="50"/>
      <c r="CR178" s="50"/>
      <c r="CS178" s="50"/>
      <c r="CT178" s="50"/>
      <c r="CU178" s="50"/>
      <c r="CV178" s="50"/>
      <c r="CW178" s="50"/>
      <c r="CX178" s="50"/>
      <c r="CY178" s="50"/>
      <c r="CZ178" s="50"/>
      <c r="DA178" s="50"/>
      <c r="DB178" s="50"/>
      <c r="DC178" s="50"/>
      <c r="DD178" s="50"/>
      <c r="DE178" s="50"/>
      <c r="DF178" s="50"/>
      <c r="DG178" s="50"/>
      <c r="DH178" s="50"/>
      <c r="DI178" s="50"/>
      <c r="DJ178" s="50"/>
      <c r="DK178" s="50"/>
      <c r="DL178" s="50"/>
      <c r="DM178" s="50"/>
      <c r="DN178" s="50"/>
      <c r="DO178" s="50"/>
      <c r="DP178" s="50"/>
      <c r="DQ178" s="50"/>
      <c r="DR178" s="50"/>
      <c r="DS178" s="50"/>
      <c r="DT178" s="50"/>
      <c r="DU178" s="50"/>
      <c r="DV178" s="50"/>
      <c r="DW178" s="50"/>
      <c r="DX178" s="50"/>
      <c r="DY178" s="50"/>
      <c r="DZ178" s="50"/>
      <c r="EA178" s="50"/>
      <c r="EB178" s="50"/>
      <c r="EC178" s="50"/>
      <c r="ED178" s="50"/>
      <c r="EE178" s="50"/>
      <c r="EF178" s="50"/>
      <c r="EG178" s="50"/>
      <c r="EH178" s="50"/>
      <c r="EI178" s="50"/>
      <c r="EJ178" s="50"/>
      <c r="EK178" s="50"/>
      <c r="EL178" s="50"/>
      <c r="EM178" s="50"/>
      <c r="EN178" s="50"/>
      <c r="EO178" s="50"/>
      <c r="EP178" s="50"/>
      <c r="EQ178" s="50"/>
      <c r="ER178" s="50"/>
      <c r="ES178" s="50"/>
      <c r="ET178" s="50"/>
      <c r="EU178" s="50"/>
      <c r="EV178" s="50"/>
      <c r="EW178" s="50"/>
      <c r="EX178" s="50"/>
      <c r="EY178" s="50"/>
      <c r="EZ178" s="50"/>
      <c r="FA178" s="50"/>
      <c r="FB178" s="50"/>
      <c r="FC178" s="50"/>
      <c r="FD178" s="50"/>
      <c r="FE178" s="50"/>
    </row>
    <row r="179" spans="1:16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c r="CO179" s="50"/>
      <c r="CP179" s="50"/>
      <c r="CQ179" s="50"/>
      <c r="CR179" s="50"/>
      <c r="CS179" s="50"/>
      <c r="CT179" s="50"/>
      <c r="CU179" s="50"/>
      <c r="CV179" s="50"/>
      <c r="CW179" s="50"/>
      <c r="CX179" s="50"/>
      <c r="CY179" s="50"/>
      <c r="CZ179" s="50"/>
      <c r="DA179" s="50"/>
      <c r="DB179" s="50"/>
      <c r="DC179" s="50"/>
      <c r="DD179" s="50"/>
      <c r="DE179" s="50"/>
      <c r="DF179" s="50"/>
      <c r="DG179" s="50"/>
      <c r="DH179" s="50"/>
      <c r="DI179" s="50"/>
      <c r="DJ179" s="50"/>
      <c r="DK179" s="50"/>
      <c r="DL179" s="50"/>
      <c r="DM179" s="50"/>
      <c r="DN179" s="50"/>
      <c r="DO179" s="50"/>
      <c r="DP179" s="50"/>
      <c r="DQ179" s="50"/>
      <c r="DR179" s="50"/>
      <c r="DS179" s="50"/>
      <c r="DT179" s="50"/>
      <c r="DU179" s="50"/>
      <c r="DV179" s="50"/>
      <c r="DW179" s="50"/>
      <c r="DX179" s="50"/>
      <c r="DY179" s="50"/>
      <c r="DZ179" s="50"/>
      <c r="EA179" s="50"/>
      <c r="EB179" s="50"/>
      <c r="EC179" s="50"/>
      <c r="ED179" s="50"/>
      <c r="EE179" s="50"/>
      <c r="EF179" s="50"/>
      <c r="EG179" s="50"/>
      <c r="EH179" s="50"/>
      <c r="EI179" s="50"/>
      <c r="EJ179" s="50"/>
      <c r="EK179" s="50"/>
      <c r="EL179" s="50"/>
      <c r="EM179" s="50"/>
      <c r="EN179" s="50"/>
      <c r="EO179" s="50"/>
      <c r="EP179" s="50"/>
      <c r="EQ179" s="50"/>
      <c r="ER179" s="50"/>
      <c r="ES179" s="50"/>
      <c r="ET179" s="50"/>
      <c r="EU179" s="50"/>
      <c r="EV179" s="50"/>
      <c r="EW179" s="50"/>
      <c r="EX179" s="50"/>
      <c r="EY179" s="50"/>
      <c r="EZ179" s="50"/>
      <c r="FA179" s="50"/>
      <c r="FB179" s="50"/>
      <c r="FC179" s="50"/>
      <c r="FD179" s="50"/>
      <c r="FE179" s="50"/>
    </row>
    <row r="180" spans="1:16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c r="CO180" s="50"/>
      <c r="CP180" s="50"/>
      <c r="CQ180" s="50"/>
      <c r="CR180" s="50"/>
      <c r="CS180" s="50"/>
      <c r="CT180" s="50"/>
      <c r="CU180" s="50"/>
      <c r="CV180" s="50"/>
      <c r="CW180" s="50"/>
      <c r="CX180" s="50"/>
      <c r="CY180" s="50"/>
      <c r="CZ180" s="50"/>
      <c r="DA180" s="50"/>
      <c r="DB180" s="50"/>
      <c r="DC180" s="50"/>
      <c r="DD180" s="50"/>
      <c r="DE180" s="50"/>
      <c r="DF180" s="50"/>
      <c r="DG180" s="50"/>
      <c r="DH180" s="50"/>
      <c r="DI180" s="50"/>
      <c r="DJ180" s="50"/>
      <c r="DK180" s="50"/>
      <c r="DL180" s="50"/>
      <c r="DM180" s="50"/>
      <c r="DN180" s="50"/>
      <c r="DO180" s="50"/>
      <c r="DP180" s="50"/>
      <c r="DQ180" s="50"/>
      <c r="DR180" s="50"/>
      <c r="DS180" s="50"/>
      <c r="DT180" s="50"/>
      <c r="DU180" s="50"/>
      <c r="DV180" s="50"/>
      <c r="DW180" s="50"/>
      <c r="DX180" s="50"/>
      <c r="DY180" s="50"/>
      <c r="DZ180" s="50"/>
      <c r="EA180" s="50"/>
      <c r="EB180" s="50"/>
      <c r="EC180" s="50"/>
      <c r="ED180" s="50"/>
      <c r="EE180" s="50"/>
      <c r="EF180" s="50"/>
      <c r="EG180" s="50"/>
      <c r="EH180" s="50"/>
      <c r="EI180" s="50"/>
      <c r="EJ180" s="50"/>
      <c r="EK180" s="50"/>
      <c r="EL180" s="50"/>
      <c r="EM180" s="50"/>
      <c r="EN180" s="50"/>
      <c r="EO180" s="50"/>
      <c r="EP180" s="50"/>
      <c r="EQ180" s="50"/>
      <c r="ER180" s="50"/>
      <c r="ES180" s="50"/>
      <c r="ET180" s="50"/>
      <c r="EU180" s="50"/>
      <c r="EV180" s="50"/>
      <c r="EW180" s="50"/>
      <c r="EX180" s="50"/>
      <c r="EY180" s="50"/>
      <c r="EZ180" s="50"/>
      <c r="FA180" s="50"/>
      <c r="FB180" s="50"/>
      <c r="FC180" s="50"/>
      <c r="FD180" s="50"/>
      <c r="FE180" s="50"/>
    </row>
    <row r="181" spans="1:16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c r="CO181" s="50"/>
      <c r="CP181" s="50"/>
      <c r="CQ181" s="50"/>
      <c r="CR181" s="50"/>
      <c r="CS181" s="50"/>
      <c r="CT181" s="50"/>
      <c r="CU181" s="50"/>
      <c r="CV181" s="50"/>
      <c r="CW181" s="50"/>
      <c r="CX181" s="50"/>
      <c r="CY181" s="50"/>
      <c r="CZ181" s="50"/>
      <c r="DA181" s="50"/>
      <c r="DB181" s="50"/>
      <c r="DC181" s="50"/>
      <c r="DD181" s="50"/>
      <c r="DE181" s="50"/>
      <c r="DF181" s="50"/>
      <c r="DG181" s="50"/>
      <c r="DH181" s="50"/>
      <c r="DI181" s="50"/>
      <c r="DJ181" s="50"/>
      <c r="DK181" s="50"/>
      <c r="DL181" s="50"/>
      <c r="DM181" s="50"/>
      <c r="DN181" s="50"/>
      <c r="DO181" s="50"/>
      <c r="DP181" s="50"/>
      <c r="DQ181" s="50"/>
      <c r="DR181" s="50"/>
      <c r="DS181" s="50"/>
      <c r="DT181" s="50"/>
      <c r="DU181" s="50"/>
      <c r="DV181" s="50"/>
      <c r="DW181" s="50"/>
      <c r="DX181" s="50"/>
      <c r="DY181" s="50"/>
      <c r="DZ181" s="50"/>
      <c r="EA181" s="50"/>
      <c r="EB181" s="50"/>
      <c r="EC181" s="50"/>
      <c r="ED181" s="50"/>
      <c r="EE181" s="50"/>
      <c r="EF181" s="50"/>
      <c r="EG181" s="50"/>
      <c r="EH181" s="50"/>
      <c r="EI181" s="50"/>
      <c r="EJ181" s="50"/>
      <c r="EK181" s="50"/>
      <c r="EL181" s="50"/>
      <c r="EM181" s="50"/>
      <c r="EN181" s="50"/>
      <c r="EO181" s="50"/>
      <c r="EP181" s="50"/>
      <c r="EQ181" s="50"/>
      <c r="ER181" s="50"/>
      <c r="ES181" s="50"/>
      <c r="ET181" s="50"/>
      <c r="EU181" s="50"/>
      <c r="EV181" s="50"/>
      <c r="EW181" s="50"/>
      <c r="EX181" s="50"/>
      <c r="EY181" s="50"/>
      <c r="EZ181" s="50"/>
      <c r="FA181" s="50"/>
      <c r="FB181" s="50"/>
      <c r="FC181" s="50"/>
      <c r="FD181" s="50"/>
      <c r="FE181" s="50"/>
    </row>
    <row r="182" spans="1:16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c r="CO182" s="50"/>
      <c r="CP182" s="50"/>
      <c r="CQ182" s="50"/>
      <c r="CR182" s="50"/>
      <c r="CS182" s="50"/>
      <c r="CT182" s="50"/>
      <c r="CU182" s="50"/>
      <c r="CV182" s="50"/>
      <c r="CW182" s="50"/>
      <c r="CX182" s="50"/>
      <c r="CY182" s="50"/>
      <c r="CZ182" s="50"/>
      <c r="DA182" s="50"/>
      <c r="DB182" s="50"/>
      <c r="DC182" s="50"/>
      <c r="DD182" s="50"/>
      <c r="DE182" s="50"/>
      <c r="DF182" s="50"/>
      <c r="DG182" s="50"/>
      <c r="DH182" s="50"/>
      <c r="DI182" s="50"/>
      <c r="DJ182" s="50"/>
      <c r="DK182" s="50"/>
      <c r="DL182" s="50"/>
      <c r="DM182" s="50"/>
      <c r="DN182" s="50"/>
      <c r="DO182" s="50"/>
      <c r="DP182" s="50"/>
      <c r="DQ182" s="50"/>
      <c r="DR182" s="50"/>
      <c r="DS182" s="50"/>
      <c r="DT182" s="50"/>
      <c r="DU182" s="50"/>
      <c r="DV182" s="50"/>
      <c r="DW182" s="50"/>
      <c r="DX182" s="50"/>
      <c r="DY182" s="50"/>
      <c r="DZ182" s="50"/>
      <c r="EA182" s="50"/>
      <c r="EB182" s="50"/>
      <c r="EC182" s="50"/>
      <c r="ED182" s="50"/>
      <c r="EE182" s="50"/>
      <c r="EF182" s="50"/>
      <c r="EG182" s="50"/>
      <c r="EH182" s="50"/>
      <c r="EI182" s="50"/>
      <c r="EJ182" s="50"/>
      <c r="EK182" s="50"/>
      <c r="EL182" s="50"/>
      <c r="EM182" s="50"/>
      <c r="EN182" s="50"/>
      <c r="EO182" s="50"/>
      <c r="EP182" s="50"/>
      <c r="EQ182" s="50"/>
      <c r="ER182" s="50"/>
      <c r="ES182" s="50"/>
      <c r="ET182" s="50"/>
      <c r="EU182" s="50"/>
      <c r="EV182" s="50"/>
      <c r="EW182" s="50"/>
      <c r="EX182" s="50"/>
      <c r="EY182" s="50"/>
      <c r="EZ182" s="50"/>
      <c r="FA182" s="50"/>
      <c r="FB182" s="50"/>
      <c r="FC182" s="50"/>
      <c r="FD182" s="50"/>
      <c r="FE182" s="50"/>
    </row>
    <row r="183" spans="1:16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c r="CO183" s="50"/>
      <c r="CP183" s="50"/>
      <c r="CQ183" s="50"/>
      <c r="CR183" s="50"/>
      <c r="CS183" s="50"/>
      <c r="CT183" s="50"/>
      <c r="CU183" s="50"/>
      <c r="CV183" s="50"/>
      <c r="CW183" s="50"/>
      <c r="CX183" s="50"/>
      <c r="CY183" s="50"/>
      <c r="CZ183" s="50"/>
      <c r="DA183" s="50"/>
      <c r="DB183" s="50"/>
      <c r="DC183" s="50"/>
      <c r="DD183" s="50"/>
      <c r="DE183" s="50"/>
      <c r="DF183" s="50"/>
      <c r="DG183" s="50"/>
      <c r="DH183" s="50"/>
      <c r="DI183" s="50"/>
      <c r="DJ183" s="50"/>
      <c r="DK183" s="50"/>
      <c r="DL183" s="50"/>
      <c r="DM183" s="50"/>
      <c r="DN183" s="50"/>
      <c r="DO183" s="50"/>
      <c r="DP183" s="50"/>
      <c r="DQ183" s="50"/>
      <c r="DR183" s="50"/>
      <c r="DS183" s="50"/>
      <c r="DT183" s="50"/>
      <c r="DU183" s="50"/>
      <c r="DV183" s="50"/>
      <c r="DW183" s="50"/>
      <c r="DX183" s="50"/>
      <c r="DY183" s="50"/>
      <c r="DZ183" s="50"/>
      <c r="EA183" s="50"/>
      <c r="EB183" s="50"/>
      <c r="EC183" s="50"/>
      <c r="ED183" s="50"/>
      <c r="EE183" s="50"/>
      <c r="EF183" s="50"/>
      <c r="EG183" s="50"/>
      <c r="EH183" s="50"/>
      <c r="EI183" s="50"/>
      <c r="EJ183" s="50"/>
      <c r="EK183" s="50"/>
      <c r="EL183" s="50"/>
      <c r="EM183" s="50"/>
      <c r="EN183" s="50"/>
      <c r="EO183" s="50"/>
      <c r="EP183" s="50"/>
      <c r="EQ183" s="50"/>
      <c r="ER183" s="50"/>
      <c r="ES183" s="50"/>
      <c r="ET183" s="50"/>
      <c r="EU183" s="50"/>
      <c r="EV183" s="50"/>
      <c r="EW183" s="50"/>
      <c r="EX183" s="50"/>
      <c r="EY183" s="50"/>
      <c r="EZ183" s="50"/>
      <c r="FA183" s="50"/>
      <c r="FB183" s="50"/>
      <c r="FC183" s="50"/>
      <c r="FD183" s="50"/>
      <c r="FE183" s="50"/>
    </row>
    <row r="184" spans="1:16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c r="CO184" s="50"/>
      <c r="CP184" s="50"/>
      <c r="CQ184" s="50"/>
      <c r="CR184" s="50"/>
      <c r="CS184" s="50"/>
      <c r="CT184" s="50"/>
      <c r="CU184" s="50"/>
      <c r="CV184" s="50"/>
      <c r="CW184" s="50"/>
      <c r="CX184" s="50"/>
      <c r="CY184" s="50"/>
      <c r="CZ184" s="50"/>
      <c r="DA184" s="50"/>
      <c r="DB184" s="50"/>
      <c r="DC184" s="50"/>
      <c r="DD184" s="50"/>
      <c r="DE184" s="50"/>
      <c r="DF184" s="50"/>
      <c r="DG184" s="50"/>
      <c r="DH184" s="50"/>
      <c r="DI184" s="50"/>
      <c r="DJ184" s="50"/>
      <c r="DK184" s="50"/>
      <c r="DL184" s="50"/>
      <c r="DM184" s="50"/>
      <c r="DN184" s="50"/>
      <c r="DO184" s="50"/>
      <c r="DP184" s="50"/>
      <c r="DQ184" s="50"/>
      <c r="DR184" s="50"/>
      <c r="DS184" s="50"/>
      <c r="DT184" s="50"/>
      <c r="DU184" s="50"/>
      <c r="DV184" s="50"/>
      <c r="DW184" s="50"/>
      <c r="DX184" s="50"/>
      <c r="DY184" s="50"/>
      <c r="DZ184" s="50"/>
      <c r="EA184" s="50"/>
      <c r="EB184" s="50"/>
      <c r="EC184" s="50"/>
      <c r="ED184" s="50"/>
      <c r="EE184" s="50"/>
      <c r="EF184" s="50"/>
      <c r="EG184" s="50"/>
      <c r="EH184" s="50"/>
      <c r="EI184" s="50"/>
      <c r="EJ184" s="50"/>
      <c r="EK184" s="50"/>
      <c r="EL184" s="50"/>
      <c r="EM184" s="50"/>
      <c r="EN184" s="50"/>
      <c r="EO184" s="50"/>
      <c r="EP184" s="50"/>
      <c r="EQ184" s="50"/>
      <c r="ER184" s="50"/>
      <c r="ES184" s="50"/>
      <c r="ET184" s="50"/>
      <c r="EU184" s="50"/>
      <c r="EV184" s="50"/>
      <c r="EW184" s="50"/>
      <c r="EX184" s="50"/>
      <c r="EY184" s="50"/>
      <c r="EZ184" s="50"/>
      <c r="FA184" s="50"/>
      <c r="FB184" s="50"/>
      <c r="FC184" s="50"/>
      <c r="FD184" s="50"/>
      <c r="FE184" s="50"/>
    </row>
    <row r="185" spans="1:16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c r="CO185" s="50"/>
      <c r="CP185" s="50"/>
      <c r="CQ185" s="50"/>
      <c r="CR185" s="50"/>
      <c r="CS185" s="50"/>
      <c r="CT185" s="50"/>
      <c r="CU185" s="50"/>
      <c r="CV185" s="50"/>
      <c r="CW185" s="50"/>
      <c r="CX185" s="50"/>
      <c r="CY185" s="50"/>
      <c r="CZ185" s="50"/>
      <c r="DA185" s="50"/>
      <c r="DB185" s="50"/>
      <c r="DC185" s="50"/>
      <c r="DD185" s="50"/>
      <c r="DE185" s="50"/>
      <c r="DF185" s="50"/>
      <c r="DG185" s="50"/>
      <c r="DH185" s="50"/>
      <c r="DI185" s="50"/>
      <c r="DJ185" s="50"/>
      <c r="DK185" s="50"/>
      <c r="DL185" s="50"/>
      <c r="DM185" s="50"/>
      <c r="DN185" s="50"/>
      <c r="DO185" s="50"/>
      <c r="DP185" s="50"/>
      <c r="DQ185" s="50"/>
      <c r="DR185" s="50"/>
      <c r="DS185" s="50"/>
      <c r="DT185" s="50"/>
      <c r="DU185" s="50"/>
      <c r="DV185" s="50"/>
      <c r="DW185" s="50"/>
      <c r="DX185" s="50"/>
      <c r="DY185" s="50"/>
      <c r="DZ185" s="50"/>
      <c r="EA185" s="50"/>
      <c r="EB185" s="50"/>
      <c r="EC185" s="50"/>
      <c r="ED185" s="50"/>
      <c r="EE185" s="50"/>
      <c r="EF185" s="50"/>
      <c r="EG185" s="50"/>
      <c r="EH185" s="50"/>
      <c r="EI185" s="50"/>
      <c r="EJ185" s="50"/>
      <c r="EK185" s="50"/>
      <c r="EL185" s="50"/>
      <c r="EM185" s="50"/>
      <c r="EN185" s="50"/>
      <c r="EO185" s="50"/>
      <c r="EP185" s="50"/>
      <c r="EQ185" s="50"/>
      <c r="ER185" s="50"/>
      <c r="ES185" s="50"/>
      <c r="ET185" s="50"/>
      <c r="EU185" s="50"/>
      <c r="EV185" s="50"/>
      <c r="EW185" s="50"/>
      <c r="EX185" s="50"/>
      <c r="EY185" s="50"/>
      <c r="EZ185" s="50"/>
      <c r="FA185" s="50"/>
      <c r="FB185" s="50"/>
      <c r="FC185" s="50"/>
      <c r="FD185" s="50"/>
      <c r="FE185" s="50"/>
    </row>
    <row r="186" spans="1:16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c r="CO186" s="50"/>
      <c r="CP186" s="50"/>
      <c r="CQ186" s="50"/>
      <c r="CR186" s="50"/>
      <c r="CS186" s="50"/>
      <c r="CT186" s="50"/>
      <c r="CU186" s="50"/>
      <c r="CV186" s="50"/>
      <c r="CW186" s="50"/>
      <c r="CX186" s="50"/>
      <c r="CY186" s="50"/>
      <c r="CZ186" s="50"/>
      <c r="DA186" s="50"/>
      <c r="DB186" s="50"/>
      <c r="DC186" s="50"/>
      <c r="DD186" s="50"/>
      <c r="DE186" s="50"/>
      <c r="DF186" s="50"/>
      <c r="DG186" s="50"/>
      <c r="DH186" s="50"/>
      <c r="DI186" s="50"/>
      <c r="DJ186" s="50"/>
      <c r="DK186" s="50"/>
      <c r="DL186" s="50"/>
      <c r="DM186" s="50"/>
      <c r="DN186" s="50"/>
      <c r="DO186" s="50"/>
      <c r="DP186" s="50"/>
      <c r="DQ186" s="50"/>
      <c r="DR186" s="50"/>
      <c r="DS186" s="50"/>
      <c r="DT186" s="50"/>
      <c r="DU186" s="50"/>
      <c r="DV186" s="50"/>
      <c r="DW186" s="50"/>
      <c r="DX186" s="50"/>
      <c r="DY186" s="50"/>
      <c r="DZ186" s="50"/>
      <c r="EA186" s="50"/>
      <c r="EB186" s="50"/>
      <c r="EC186" s="50"/>
      <c r="ED186" s="50"/>
      <c r="EE186" s="50"/>
      <c r="EF186" s="50"/>
      <c r="EG186" s="50"/>
      <c r="EH186" s="50"/>
      <c r="EI186" s="50"/>
      <c r="EJ186" s="50"/>
      <c r="EK186" s="50"/>
      <c r="EL186" s="50"/>
      <c r="EM186" s="50"/>
      <c r="EN186" s="50"/>
      <c r="EO186" s="50"/>
      <c r="EP186" s="50"/>
      <c r="EQ186" s="50"/>
      <c r="ER186" s="50"/>
      <c r="ES186" s="50"/>
      <c r="ET186" s="50"/>
      <c r="EU186" s="50"/>
      <c r="EV186" s="50"/>
      <c r="EW186" s="50"/>
      <c r="EX186" s="50"/>
      <c r="EY186" s="50"/>
      <c r="EZ186" s="50"/>
      <c r="FA186" s="50"/>
      <c r="FB186" s="50"/>
      <c r="FC186" s="50"/>
      <c r="FD186" s="50"/>
      <c r="FE186" s="50"/>
    </row>
    <row r="187" spans="1:16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c r="CO187" s="50"/>
      <c r="CP187" s="50"/>
      <c r="CQ187" s="50"/>
      <c r="CR187" s="50"/>
      <c r="CS187" s="50"/>
      <c r="CT187" s="50"/>
      <c r="CU187" s="50"/>
      <c r="CV187" s="50"/>
      <c r="CW187" s="50"/>
      <c r="CX187" s="50"/>
      <c r="CY187" s="50"/>
      <c r="CZ187" s="50"/>
      <c r="DA187" s="50"/>
      <c r="DB187" s="50"/>
      <c r="DC187" s="50"/>
      <c r="DD187" s="50"/>
      <c r="DE187" s="50"/>
      <c r="DF187" s="50"/>
      <c r="DG187" s="50"/>
      <c r="DH187" s="50"/>
      <c r="DI187" s="50"/>
      <c r="DJ187" s="50"/>
      <c r="DK187" s="50"/>
      <c r="DL187" s="50"/>
      <c r="DM187" s="50"/>
      <c r="DN187" s="50"/>
      <c r="DO187" s="50"/>
      <c r="DP187" s="50"/>
      <c r="DQ187" s="50"/>
      <c r="DR187" s="50"/>
      <c r="DS187" s="50"/>
      <c r="DT187" s="50"/>
      <c r="DU187" s="50"/>
      <c r="DV187" s="50"/>
      <c r="DW187" s="50"/>
      <c r="DX187" s="50"/>
      <c r="DY187" s="50"/>
      <c r="DZ187" s="50"/>
      <c r="EA187" s="50"/>
      <c r="EB187" s="50"/>
      <c r="EC187" s="50"/>
      <c r="ED187" s="50"/>
      <c r="EE187" s="50"/>
      <c r="EF187" s="50"/>
      <c r="EG187" s="50"/>
      <c r="EH187" s="50"/>
      <c r="EI187" s="50"/>
      <c r="EJ187" s="50"/>
      <c r="EK187" s="50"/>
      <c r="EL187" s="50"/>
      <c r="EM187" s="50"/>
      <c r="EN187" s="50"/>
      <c r="EO187" s="50"/>
      <c r="EP187" s="50"/>
      <c r="EQ187" s="50"/>
      <c r="ER187" s="50"/>
      <c r="ES187" s="50"/>
      <c r="ET187" s="50"/>
      <c r="EU187" s="50"/>
      <c r="EV187" s="50"/>
      <c r="EW187" s="50"/>
      <c r="EX187" s="50"/>
      <c r="EY187" s="50"/>
      <c r="EZ187" s="50"/>
      <c r="FA187" s="50"/>
      <c r="FB187" s="50"/>
      <c r="FC187" s="50"/>
      <c r="FD187" s="50"/>
      <c r="FE187" s="50"/>
    </row>
    <row r="188" spans="1:16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c r="CO188" s="50"/>
      <c r="CP188" s="50"/>
      <c r="CQ188" s="50"/>
      <c r="CR188" s="50"/>
      <c r="CS188" s="50"/>
      <c r="CT188" s="50"/>
      <c r="CU188" s="50"/>
      <c r="CV188" s="50"/>
      <c r="CW188" s="50"/>
      <c r="CX188" s="50"/>
      <c r="CY188" s="50"/>
      <c r="CZ188" s="50"/>
      <c r="DA188" s="50"/>
      <c r="DB188" s="50"/>
      <c r="DC188" s="50"/>
      <c r="DD188" s="50"/>
      <c r="DE188" s="50"/>
      <c r="DF188" s="50"/>
      <c r="DG188" s="50"/>
      <c r="DH188" s="50"/>
      <c r="DI188" s="50"/>
      <c r="DJ188" s="50"/>
      <c r="DK188" s="50"/>
      <c r="DL188" s="50"/>
      <c r="DM188" s="50"/>
      <c r="DN188" s="50"/>
      <c r="DO188" s="50"/>
      <c r="DP188" s="50"/>
      <c r="DQ188" s="50"/>
      <c r="DR188" s="50"/>
      <c r="DS188" s="50"/>
      <c r="DT188" s="50"/>
      <c r="DU188" s="50"/>
      <c r="DV188" s="50"/>
      <c r="DW188" s="50"/>
      <c r="DX188" s="50"/>
      <c r="DY188" s="50"/>
      <c r="DZ188" s="50"/>
      <c r="EA188" s="50"/>
      <c r="EB188" s="50"/>
      <c r="EC188" s="50"/>
      <c r="ED188" s="50"/>
      <c r="EE188" s="50"/>
      <c r="EF188" s="50"/>
      <c r="EG188" s="50"/>
      <c r="EH188" s="50"/>
      <c r="EI188" s="50"/>
      <c r="EJ188" s="50"/>
      <c r="EK188" s="50"/>
      <c r="EL188" s="50"/>
      <c r="EM188" s="50"/>
      <c r="EN188" s="50"/>
      <c r="EO188" s="50"/>
      <c r="EP188" s="50"/>
      <c r="EQ188" s="50"/>
      <c r="ER188" s="50"/>
      <c r="ES188" s="50"/>
      <c r="ET188" s="50"/>
      <c r="EU188" s="50"/>
      <c r="EV188" s="50"/>
      <c r="EW188" s="50"/>
      <c r="EX188" s="50"/>
      <c r="EY188" s="50"/>
      <c r="EZ188" s="50"/>
      <c r="FA188" s="50"/>
      <c r="FB188" s="50"/>
      <c r="FC188" s="50"/>
      <c r="FD188" s="50"/>
      <c r="FE188" s="50"/>
    </row>
    <row r="189" spans="1:16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c r="CO189" s="50"/>
      <c r="CP189" s="50"/>
      <c r="CQ189" s="50"/>
      <c r="CR189" s="50"/>
      <c r="CS189" s="50"/>
      <c r="CT189" s="50"/>
      <c r="CU189" s="50"/>
      <c r="CV189" s="50"/>
      <c r="CW189" s="50"/>
      <c r="CX189" s="50"/>
      <c r="CY189" s="50"/>
      <c r="CZ189" s="50"/>
      <c r="DA189" s="50"/>
      <c r="DB189" s="50"/>
      <c r="DC189" s="50"/>
      <c r="DD189" s="50"/>
      <c r="DE189" s="50"/>
      <c r="DF189" s="50"/>
      <c r="DG189" s="50"/>
      <c r="DH189" s="50"/>
      <c r="DI189" s="50"/>
      <c r="DJ189" s="50"/>
      <c r="DK189" s="50"/>
      <c r="DL189" s="50"/>
      <c r="DM189" s="50"/>
      <c r="DN189" s="50"/>
      <c r="DO189" s="50"/>
      <c r="DP189" s="50"/>
      <c r="DQ189" s="50"/>
      <c r="DR189" s="50"/>
      <c r="DS189" s="50"/>
      <c r="DT189" s="50"/>
      <c r="DU189" s="50"/>
      <c r="DV189" s="50"/>
      <c r="DW189" s="50"/>
      <c r="DX189" s="50"/>
      <c r="DY189" s="50"/>
      <c r="DZ189" s="50"/>
      <c r="EA189" s="50"/>
      <c r="EB189" s="50"/>
      <c r="EC189" s="50"/>
      <c r="ED189" s="50"/>
      <c r="EE189" s="50"/>
      <c r="EF189" s="50"/>
      <c r="EG189" s="50"/>
      <c r="EH189" s="50"/>
      <c r="EI189" s="50"/>
      <c r="EJ189" s="50"/>
      <c r="EK189" s="50"/>
      <c r="EL189" s="50"/>
      <c r="EM189" s="50"/>
      <c r="EN189" s="50"/>
      <c r="EO189" s="50"/>
      <c r="EP189" s="50"/>
      <c r="EQ189" s="50"/>
      <c r="ER189" s="50"/>
      <c r="ES189" s="50"/>
      <c r="ET189" s="50"/>
      <c r="EU189" s="50"/>
      <c r="EV189" s="50"/>
      <c r="EW189" s="50"/>
      <c r="EX189" s="50"/>
      <c r="EY189" s="50"/>
      <c r="EZ189" s="50"/>
      <c r="FA189" s="50"/>
      <c r="FB189" s="50"/>
      <c r="FC189" s="50"/>
      <c r="FD189" s="50"/>
      <c r="FE189" s="50"/>
    </row>
    <row r="190" spans="1:16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c r="CO190" s="50"/>
      <c r="CP190" s="50"/>
      <c r="CQ190" s="50"/>
      <c r="CR190" s="50"/>
      <c r="CS190" s="50"/>
      <c r="CT190" s="50"/>
      <c r="CU190" s="50"/>
      <c r="CV190" s="50"/>
      <c r="CW190" s="50"/>
      <c r="CX190" s="50"/>
      <c r="CY190" s="50"/>
      <c r="CZ190" s="50"/>
      <c r="DA190" s="50"/>
      <c r="DB190" s="50"/>
      <c r="DC190" s="50"/>
      <c r="DD190" s="50"/>
      <c r="DE190" s="50"/>
      <c r="DF190" s="50"/>
      <c r="DG190" s="50"/>
      <c r="DH190" s="50"/>
      <c r="DI190" s="50"/>
      <c r="DJ190" s="50"/>
      <c r="DK190" s="50"/>
      <c r="DL190" s="50"/>
      <c r="DM190" s="50"/>
      <c r="DN190" s="50"/>
      <c r="DO190" s="50"/>
      <c r="DP190" s="50"/>
      <c r="DQ190" s="50"/>
      <c r="DR190" s="50"/>
      <c r="DS190" s="50"/>
      <c r="DT190" s="50"/>
      <c r="DU190" s="50"/>
      <c r="DV190" s="50"/>
      <c r="DW190" s="50"/>
      <c r="DX190" s="50"/>
      <c r="DY190" s="50"/>
      <c r="DZ190" s="50"/>
      <c r="EA190" s="50"/>
      <c r="EB190" s="50"/>
      <c r="EC190" s="50"/>
      <c r="ED190" s="50"/>
      <c r="EE190" s="50"/>
      <c r="EF190" s="50"/>
      <c r="EG190" s="50"/>
      <c r="EH190" s="50"/>
      <c r="EI190" s="50"/>
      <c r="EJ190" s="50"/>
      <c r="EK190" s="50"/>
      <c r="EL190" s="50"/>
      <c r="EM190" s="50"/>
      <c r="EN190" s="50"/>
      <c r="EO190" s="50"/>
      <c r="EP190" s="50"/>
      <c r="EQ190" s="50"/>
      <c r="ER190" s="50"/>
      <c r="ES190" s="50"/>
      <c r="ET190" s="50"/>
      <c r="EU190" s="50"/>
      <c r="EV190" s="50"/>
      <c r="EW190" s="50"/>
      <c r="EX190" s="50"/>
      <c r="EY190" s="50"/>
      <c r="EZ190" s="50"/>
      <c r="FA190" s="50"/>
      <c r="FB190" s="50"/>
      <c r="FC190" s="50"/>
      <c r="FD190" s="50"/>
      <c r="FE190" s="5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C80D-8BD7-460B-A11C-4D320F44E406}">
  <dimension ref="A1:J16"/>
  <sheetViews>
    <sheetView zoomScale="74" workbookViewId="0">
      <selection activeCell="M4" sqref="M4"/>
    </sheetView>
  </sheetViews>
  <sheetFormatPr defaultRowHeight="14.5"/>
  <cols>
    <col min="1" max="1" width="21.36328125" bestFit="1" customWidth="1"/>
    <col min="2" max="2" width="12.6328125" bestFit="1" customWidth="1"/>
    <col min="3" max="3" width="21.36328125" bestFit="1" customWidth="1"/>
    <col min="4" max="4" width="12.6328125" bestFit="1" customWidth="1"/>
    <col min="5" max="5" width="21.36328125" bestFit="1" customWidth="1"/>
    <col min="9" max="9" width="21.36328125" bestFit="1" customWidth="1"/>
    <col min="10" max="10" width="12" bestFit="1" customWidth="1"/>
  </cols>
  <sheetData>
    <row r="1" spans="1:10">
      <c r="A1" s="48" t="s">
        <v>325</v>
      </c>
      <c r="B1" s="48"/>
      <c r="C1" s="48" t="s">
        <v>326</v>
      </c>
      <c r="D1" s="48"/>
      <c r="E1" s="48" t="s">
        <v>327</v>
      </c>
      <c r="F1" s="48"/>
      <c r="G1" s="48" t="s">
        <v>328</v>
      </c>
      <c r="H1" s="48"/>
      <c r="I1" s="48" t="s">
        <v>329</v>
      </c>
      <c r="J1" s="48"/>
    </row>
    <row r="2" spans="1:10">
      <c r="A2" s="47"/>
      <c r="B2" s="47"/>
      <c r="C2" s="47"/>
      <c r="D2" s="47"/>
      <c r="E2" s="47"/>
      <c r="F2" s="47"/>
      <c r="G2" s="47"/>
      <c r="H2" s="47"/>
      <c r="I2" s="47"/>
      <c r="J2" s="47"/>
    </row>
    <row r="3" spans="1:10">
      <c r="A3" s="47" t="s">
        <v>330</v>
      </c>
      <c r="B3" s="47">
        <v>976.08879999999965</v>
      </c>
      <c r="C3" s="47" t="s">
        <v>330</v>
      </c>
      <c r="D3" s="47">
        <v>9.9949999999999992</v>
      </c>
      <c r="E3" s="47" t="s">
        <v>330</v>
      </c>
      <c r="F3" s="47">
        <v>976.08879999999965</v>
      </c>
      <c r="G3" s="47" t="s">
        <v>330</v>
      </c>
      <c r="H3" s="47">
        <v>9.7250000000000003E-2</v>
      </c>
      <c r="I3" s="47" t="s">
        <v>330</v>
      </c>
      <c r="J3" s="47">
        <v>341.43505000000005</v>
      </c>
    </row>
    <row r="4" spans="1:10">
      <c r="A4" s="47" t="s">
        <v>79</v>
      </c>
      <c r="B4" s="47">
        <v>21.161850448978406</v>
      </c>
      <c r="C4" s="47" t="s">
        <v>79</v>
      </c>
      <c r="D4" s="47">
        <v>0.39927682743257598</v>
      </c>
      <c r="E4" s="47" t="s">
        <v>79</v>
      </c>
      <c r="F4" s="47">
        <v>21.161850448978406</v>
      </c>
      <c r="G4" s="47" t="s">
        <v>79</v>
      </c>
      <c r="H4" s="47">
        <v>5.1142413732752686E-3</v>
      </c>
      <c r="I4" s="47" t="s">
        <v>79</v>
      </c>
      <c r="J4" s="47">
        <v>9.6001196472332531</v>
      </c>
    </row>
    <row r="5" spans="1:10">
      <c r="A5" s="47" t="s">
        <v>331</v>
      </c>
      <c r="B5" s="47">
        <v>976.72</v>
      </c>
      <c r="C5" s="47" t="s">
        <v>331</v>
      </c>
      <c r="D5" s="47">
        <v>10</v>
      </c>
      <c r="E5" s="47" t="s">
        <v>331</v>
      </c>
      <c r="F5" s="47">
        <v>976.72</v>
      </c>
      <c r="G5" s="47" t="s">
        <v>331</v>
      </c>
      <c r="H5" s="47">
        <v>0.1</v>
      </c>
      <c r="I5" s="47" t="s">
        <v>331</v>
      </c>
      <c r="J5" s="47">
        <v>332.255</v>
      </c>
    </row>
    <row r="6" spans="1:10">
      <c r="A6" s="47" t="s">
        <v>332</v>
      </c>
      <c r="B6" s="47" t="e">
        <v>#N/A</v>
      </c>
      <c r="C6" s="47" t="s">
        <v>332</v>
      </c>
      <c r="D6" s="47">
        <v>8</v>
      </c>
      <c r="E6" s="47" t="s">
        <v>332</v>
      </c>
      <c r="F6" s="47" t="e">
        <v>#N/A</v>
      </c>
      <c r="G6" s="47" t="s">
        <v>332</v>
      </c>
      <c r="H6" s="47">
        <v>0.2</v>
      </c>
      <c r="I6" s="47" t="s">
        <v>332</v>
      </c>
      <c r="J6" s="47" t="e">
        <v>#N/A</v>
      </c>
    </row>
    <row r="7" spans="1:10">
      <c r="A7" s="47" t="s">
        <v>333</v>
      </c>
      <c r="B7" s="47">
        <v>299.27375909856431</v>
      </c>
      <c r="C7" s="47" t="s">
        <v>333</v>
      </c>
      <c r="D7" s="47">
        <v>5.6466270449645082</v>
      </c>
      <c r="E7" s="47" t="s">
        <v>333</v>
      </c>
      <c r="F7" s="47">
        <v>299.27375909856431</v>
      </c>
      <c r="G7" s="47" t="s">
        <v>333</v>
      </c>
      <c r="H7" s="47">
        <v>7.232629511335488E-2</v>
      </c>
      <c r="I7" s="47" t="s">
        <v>333</v>
      </c>
      <c r="J7" s="47">
        <v>135.7661940552168</v>
      </c>
    </row>
    <row r="8" spans="1:10">
      <c r="A8" s="47" t="s">
        <v>334</v>
      </c>
      <c r="B8" s="47">
        <v>89564.782884985514</v>
      </c>
      <c r="C8" s="47" t="s">
        <v>334</v>
      </c>
      <c r="D8" s="47">
        <v>31.884396984924617</v>
      </c>
      <c r="E8" s="47" t="s">
        <v>334</v>
      </c>
      <c r="F8" s="47">
        <v>89564.782884985514</v>
      </c>
      <c r="G8" s="47" t="s">
        <v>334</v>
      </c>
      <c r="H8" s="47">
        <v>5.2310929648241022E-3</v>
      </c>
      <c r="I8" s="47" t="s">
        <v>334</v>
      </c>
      <c r="J8" s="47">
        <v>18432.459448238787</v>
      </c>
    </row>
    <row r="9" spans="1:10">
      <c r="A9" s="47" t="s">
        <v>335</v>
      </c>
      <c r="B9" s="47">
        <v>-8.8595231919740502E-2</v>
      </c>
      <c r="C9" s="47" t="s">
        <v>335</v>
      </c>
      <c r="D9" s="47">
        <v>-1.2091053826620759</v>
      </c>
      <c r="E9" s="47" t="s">
        <v>335</v>
      </c>
      <c r="F9" s="47">
        <v>-8.8595231919740502E-2</v>
      </c>
      <c r="G9" s="47" t="s">
        <v>335</v>
      </c>
      <c r="H9" s="47">
        <v>-1.3257012415855784</v>
      </c>
      <c r="I9" s="47" t="s">
        <v>335</v>
      </c>
      <c r="J9" s="47">
        <v>0.26450643813582442</v>
      </c>
    </row>
    <row r="10" spans="1:10">
      <c r="A10" s="47" t="s">
        <v>336</v>
      </c>
      <c r="B10" s="47">
        <v>0.14685796564193557</v>
      </c>
      <c r="C10" s="47" t="s">
        <v>336</v>
      </c>
      <c r="D10" s="47">
        <v>6.084586432077814E-2</v>
      </c>
      <c r="E10" s="47" t="s">
        <v>336</v>
      </c>
      <c r="F10" s="47">
        <v>0.14685796564193557</v>
      </c>
      <c r="G10" s="47" t="s">
        <v>336</v>
      </c>
      <c r="H10" s="47">
        <v>9.6827385576684841E-2</v>
      </c>
      <c r="I10" s="47" t="s">
        <v>336</v>
      </c>
      <c r="J10" s="47">
        <v>0.57339636063424715</v>
      </c>
    </row>
    <row r="11" spans="1:10">
      <c r="A11" s="47" t="s">
        <v>337</v>
      </c>
      <c r="B11" s="47">
        <v>1665.15</v>
      </c>
      <c r="C11" s="47" t="s">
        <v>337</v>
      </c>
      <c r="D11" s="47">
        <v>18</v>
      </c>
      <c r="E11" s="47" t="s">
        <v>337</v>
      </c>
      <c r="F11" s="47">
        <v>1665.15</v>
      </c>
      <c r="G11" s="47" t="s">
        <v>337</v>
      </c>
      <c r="H11" s="47">
        <v>0.2</v>
      </c>
      <c r="I11" s="47" t="s">
        <v>337</v>
      </c>
      <c r="J11" s="47">
        <v>704.83</v>
      </c>
    </row>
    <row r="12" spans="1:10">
      <c r="A12" s="47" t="s">
        <v>338</v>
      </c>
      <c r="B12" s="47">
        <v>258.51</v>
      </c>
      <c r="C12" s="47" t="s">
        <v>338</v>
      </c>
      <c r="D12" s="47">
        <v>1</v>
      </c>
      <c r="E12" s="47" t="s">
        <v>338</v>
      </c>
      <c r="F12" s="47">
        <v>258.51</v>
      </c>
      <c r="G12" s="47" t="s">
        <v>338</v>
      </c>
      <c r="H12" s="47">
        <v>0</v>
      </c>
      <c r="I12" s="47" t="s">
        <v>338</v>
      </c>
      <c r="J12" s="47">
        <v>64.63</v>
      </c>
    </row>
    <row r="13" spans="1:10">
      <c r="A13" s="47" t="s">
        <v>339</v>
      </c>
      <c r="B13" s="47">
        <v>1923.66</v>
      </c>
      <c r="C13" s="47" t="s">
        <v>339</v>
      </c>
      <c r="D13" s="47">
        <v>19</v>
      </c>
      <c r="E13" s="47" t="s">
        <v>339</v>
      </c>
      <c r="F13" s="47">
        <v>1923.66</v>
      </c>
      <c r="G13" s="47" t="s">
        <v>339</v>
      </c>
      <c r="H13" s="47">
        <v>0.2</v>
      </c>
      <c r="I13" s="47" t="s">
        <v>339</v>
      </c>
      <c r="J13" s="47">
        <v>769.46</v>
      </c>
    </row>
    <row r="14" spans="1:10">
      <c r="A14" s="47" t="s">
        <v>340</v>
      </c>
      <c r="B14" s="47">
        <v>195217.75999999992</v>
      </c>
      <c r="C14" s="47" t="s">
        <v>340</v>
      </c>
      <c r="D14" s="47">
        <v>1999</v>
      </c>
      <c r="E14" s="47" t="s">
        <v>340</v>
      </c>
      <c r="F14" s="47">
        <v>195217.75999999992</v>
      </c>
      <c r="G14" s="47" t="s">
        <v>340</v>
      </c>
      <c r="H14" s="47">
        <v>19.45</v>
      </c>
      <c r="I14" s="47" t="s">
        <v>340</v>
      </c>
      <c r="J14" s="47">
        <v>68287.010000000009</v>
      </c>
    </row>
    <row r="15" spans="1:10">
      <c r="A15" s="47" t="s">
        <v>341</v>
      </c>
      <c r="B15" s="47">
        <v>200</v>
      </c>
      <c r="C15" s="47" t="s">
        <v>341</v>
      </c>
      <c r="D15" s="47">
        <v>200</v>
      </c>
      <c r="E15" s="47" t="s">
        <v>341</v>
      </c>
      <c r="F15" s="47">
        <v>200</v>
      </c>
      <c r="G15" s="47" t="s">
        <v>341</v>
      </c>
      <c r="H15" s="47">
        <v>200</v>
      </c>
      <c r="I15" s="47" t="s">
        <v>341</v>
      </c>
      <c r="J15" s="47">
        <v>200</v>
      </c>
    </row>
    <row r="16" spans="1:10">
      <c r="A16" s="47" t="s">
        <v>342</v>
      </c>
      <c r="B16" s="47">
        <v>41.730249481339911</v>
      </c>
      <c r="C16" s="47" t="s">
        <v>342</v>
      </c>
      <c r="D16" s="47">
        <v>0.78735655282374695</v>
      </c>
      <c r="E16" s="47" t="s">
        <v>342</v>
      </c>
      <c r="F16" s="47">
        <v>41.730249481339911</v>
      </c>
      <c r="G16" s="47" t="s">
        <v>342</v>
      </c>
      <c r="H16" s="47">
        <v>1.008506174491325E-2</v>
      </c>
      <c r="I16" s="47" t="s">
        <v>342</v>
      </c>
      <c r="J16" s="47">
        <v>18.931018763961465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pivot table</vt:lpstr>
      <vt:lpstr>Dataset</vt:lpstr>
      <vt:lpstr>Scenario Summary</vt:lpstr>
      <vt:lpstr>dash board</vt:lpstr>
      <vt:lpstr>discriptiv stetestic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dc:creator>
  <cp:lastModifiedBy>Ajay SOSA</cp:lastModifiedBy>
  <dcterms:created xsi:type="dcterms:W3CDTF">2026-02-13T08:07:24Z</dcterms:created>
  <dcterms:modified xsi:type="dcterms:W3CDTF">2026-02-18T05:39:50Z</dcterms:modified>
</cp:coreProperties>
</file>