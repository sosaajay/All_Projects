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exel\practical test\"/>
    </mc:Choice>
  </mc:AlternateContent>
  <xr:revisionPtr revIDLastSave="0" documentId="13_ncr:1_{F9D9B49B-12C9-4F34-8972-7A3700196131}" xr6:coauthVersionLast="47" xr6:coauthVersionMax="47" xr10:uidLastSave="{00000000-0000-0000-0000-000000000000}"/>
  <bookViews>
    <workbookView xWindow="-110" yWindow="-110" windowWidth="19420" windowHeight="10300" activeTab="3" xr2:uid="{1FBB7395-825F-4966-B45D-43C409BB59A1}"/>
  </bookViews>
  <sheets>
    <sheet name="Dashboard" sheetId="4" r:id="rId1"/>
    <sheet name="Documentation" sheetId="7" r:id="rId2"/>
    <sheet name="Database" sheetId="1" r:id="rId3"/>
    <sheet name="Pivot Table" sheetId="2" r:id="rId4"/>
    <sheet name="Descriptive Statistics" sheetId="5" r:id="rId5"/>
  </sheets>
  <definedNames>
    <definedName name="_xlnm._FilterDatabase" localSheetId="2" hidden="1">Database!$A$1:$T$1</definedName>
    <definedName name="Slicer_Month">#N/A</definedName>
    <definedName name="Slicer_Sub_Category">#N/A</definedName>
  </definedNames>
  <calcPr calcId="191029"/>
  <pivotCaches>
    <pivotCache cacheId="1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3" i="1" l="1"/>
  <c r="Y4" i="1"/>
  <c r="AA10"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2" i="1"/>
  <c r="Y18" i="1" l="1"/>
  <c r="F3"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2" i="1"/>
</calcChain>
</file>

<file path=xl/sharedStrings.xml><?xml version="1.0" encoding="utf-8"?>
<sst xmlns="http://schemas.openxmlformats.org/spreadsheetml/2006/main" count="5988" uniqueCount="941">
  <si>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</si>
  <si>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</si>
  <si>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</si>
  <si>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</si>
  <si>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</si>
  <si>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</si>
  <si>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</si>
  <si>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</si>
  <si>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</si>
  <si>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</si>
  <si>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</si>
  <si>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</si>
  <si>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</si>
  <si>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</si>
  <si>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</si>
  <si>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</si>
  <si>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</si>
  <si>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</si>
  <si>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</si>
  <si>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</si>
  <si>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Nov</t>
  </si>
  <si>
    <t>Second Class</t>
  </si>
  <si>
    <t>Claire Gute</t>
  </si>
  <si>
    <t>Consumer</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</si>
  <si>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</si>
  <si>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</si>
  <si>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</si>
  <si>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</si>
  <si>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</si>
  <si>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</si>
  <si>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</si>
  <si>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</si>
  <si>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</si>
  <si>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</si>
  <si>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</si>
  <si>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</si>
  <si>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</si>
  <si>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</si>
  <si>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</si>
  <si>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</si>
  <si>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</si>
  <si>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Oct</t>
  </si>
  <si>
    <t>Standard Class</t>
  </si>
  <si>
    <t>Sean O'Donnell</t>
  </si>
  <si>
    <t>Fort Lauderdale</t>
  </si>
  <si>
    <t>Florida</t>
  </si>
  <si>
    <t>Tables</t>
  </si>
  <si>
    <t>Bretford CR4500 Series Slim Rectangular Table</t>
  </si>
  <si>
    <t>Storage</t>
  </si>
  <si>
    <t>Eldon Fold 'N Roll Cart System</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</si>
  <si>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</si>
  <si>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</si>
  <si>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</si>
  <si>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</si>
  <si>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</si>
  <si>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</si>
  <si>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</si>
  <si>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</si>
  <si>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</si>
  <si>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</si>
  <si>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</si>
  <si>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</si>
  <si>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</si>
  <si>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</si>
  <si>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</si>
  <si>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</si>
  <si>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</si>
  <si>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</si>
  <si>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</si>
  <si>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</si>
  <si>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</si>
  <si>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</si>
  <si>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</si>
  <si>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</si>
  <si>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</si>
  <si>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</si>
  <si>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</si>
  <si>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</si>
  <si>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</si>
  <si>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</si>
  <si>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</si>
  <si>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</si>
  <si>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</si>
  <si>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</si>
  <si>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</si>
  <si>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</si>
  <si>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</si>
  <si>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</si>
  <si>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</si>
  <si>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</si>
  <si>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</si>
  <si>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</si>
  <si>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</si>
  <si>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</si>
  <si>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</si>
  <si>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</si>
  <si>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</si>
  <si>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</si>
  <si>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</si>
  <si>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</si>
  <si>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</si>
  <si>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</si>
  <si>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</si>
  <si>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</si>
  <si>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</si>
  <si>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</si>
  <si>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</si>
  <si>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</si>
  <si>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</si>
  <si>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</si>
  <si>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</si>
  <si>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</si>
  <si>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</si>
  <si>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</si>
  <si>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</si>
  <si>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</si>
  <si>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</si>
  <si>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</si>
  <si>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</si>
  <si>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</si>
  <si>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</si>
  <si>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</si>
  <si>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</si>
  <si>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</si>
  <si>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</si>
  <si>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</si>
  <si>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</si>
  <si>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</si>
  <si>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</si>
  <si>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</si>
  <si>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</si>
  <si>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</si>
  <si>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</si>
  <si>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</si>
  <si>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</si>
  <si>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</si>
  <si>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</si>
  <si>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</si>
  <si>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</si>
  <si>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</si>
  <si>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</si>
  <si>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</si>
  <si>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</si>
  <si>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</si>
  <si>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</si>
  <si>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</si>
  <si>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</si>
  <si>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</si>
  <si>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</si>
  <si>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</si>
  <si>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</si>
  <si>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</si>
  <si>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</si>
  <si>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</si>
  <si>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</si>
  <si>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</si>
  <si>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</si>
  <si>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</si>
  <si>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</si>
  <si>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</si>
  <si>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</si>
  <si>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</si>
  <si>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</si>
  <si>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</si>
  <si>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</si>
  <si>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</si>
  <si>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</si>
  <si>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</si>
  <si>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</si>
  <si>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</si>
  <si>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</si>
  <si>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</si>
  <si>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</si>
  <si>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</si>
  <si>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</si>
  <si>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</si>
  <si>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</si>
  <si>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</si>
  <si>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</si>
  <si>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</si>
  <si>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</si>
  <si>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</si>
  <si>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</si>
  <si>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</si>
  <si>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</si>
  <si>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</si>
  <si>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</si>
  <si>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</si>
  <si>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</si>
  <si>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</si>
  <si>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</si>
  <si>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</si>
  <si>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</si>
  <si>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</si>
  <si>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</si>
  <si>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</si>
  <si>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</si>
  <si>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</si>
  <si>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</si>
  <si>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</si>
  <si>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</si>
  <si>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</si>
  <si>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</si>
  <si>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</si>
  <si>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</si>
  <si>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</si>
  <si>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</si>
  <si>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</si>
  <si>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</si>
  <si>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</si>
  <si>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</si>
  <si>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</si>
  <si>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</si>
  <si>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</si>
  <si>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</si>
  <si>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</si>
  <si>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</si>
  <si>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</si>
  <si>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</si>
  <si>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</si>
  <si>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</si>
  <si>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</si>
  <si>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</si>
  <si>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</si>
  <si>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</si>
  <si>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</si>
  <si>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</si>
  <si>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</si>
  <si>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</si>
  <si>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</si>
  <si>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</si>
  <si>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</si>
  <si>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</si>
  <si>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</si>
  <si>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</si>
  <si>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</si>
  <si>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</si>
  <si>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</si>
  <si>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</si>
  <si>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</si>
  <si>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</si>
  <si>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</si>
  <si>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</si>
  <si>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</si>
  <si>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</si>
  <si>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</si>
  <si>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</si>
  <si>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</si>
  <si>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</si>
  <si>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</si>
  <si>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</si>
  <si>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</si>
  <si>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</si>
  <si>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</si>
  <si>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</si>
  <si>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</si>
  <si>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</si>
  <si>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</si>
  <si>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</si>
  <si>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</si>
  <si>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</si>
  <si>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</si>
  <si>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</si>
  <si>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</si>
  <si>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</si>
  <si>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</si>
  <si>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</si>
  <si>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</si>
  <si>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</si>
  <si>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</si>
  <si>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</si>
  <si>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</si>
  <si>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</si>
  <si>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</si>
  <si>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</si>
  <si>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</si>
  <si>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</si>
  <si>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</si>
  <si>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</si>
  <si>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</si>
  <si>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</si>
  <si>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</si>
  <si>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</si>
  <si>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</si>
  <si>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</si>
  <si>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</si>
  <si>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</si>
  <si>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</si>
  <si>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</si>
  <si>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</si>
  <si>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</si>
  <si>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</si>
  <si>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</si>
  <si>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</si>
  <si>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</si>
  <si>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</si>
  <si>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</si>
  <si>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</si>
  <si>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</si>
  <si>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</si>
  <si>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</si>
  <si>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</si>
  <si>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</si>
  <si>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</si>
  <si>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</si>
  <si>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</si>
  <si>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</si>
  <si>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</si>
  <si>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</si>
  <si>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</si>
  <si>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</si>
  <si>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</si>
  <si>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</si>
  <si>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</si>
  <si>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</si>
  <si>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</si>
  <si>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</si>
  <si>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</si>
  <si>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</si>
  <si>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</si>
  <si>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</si>
  <si>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</si>
  <si>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</si>
  <si>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</si>
  <si>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</si>
  <si>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</si>
  <si>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</si>
  <si>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</si>
  <si>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</si>
  <si>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</si>
  <si>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</si>
  <si>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</si>
  <si>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</si>
  <si>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</si>
  <si>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</si>
  <si>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</si>
  <si>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</si>
  <si>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</si>
  <si>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</si>
  <si>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</si>
  <si>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</si>
  <si>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</si>
  <si>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</si>
  <si>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</si>
  <si>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</si>
  <si>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</si>
  <si>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</si>
  <si>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</si>
  <si>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</si>
  <si>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</si>
  <si>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</si>
  <si>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</si>
  <si>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</si>
  <si>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</si>
  <si>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</si>
  <si>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</si>
  <si>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</si>
  <si>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</si>
  <si>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</si>
  <si>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</si>
  <si>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</si>
  <si>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</si>
  <si>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</si>
  <si>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</si>
  <si>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</si>
  <si>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</si>
  <si>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</si>
  <si>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</si>
  <si>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</si>
  <si>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</si>
  <si>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</si>
  <si>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</si>
  <si>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</si>
  <si>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</si>
  <si>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</si>
  <si>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</si>
  <si>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</si>
  <si>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</si>
  <si>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</si>
  <si>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</si>
  <si>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</si>
  <si>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</si>
  <si>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</si>
  <si>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</si>
  <si>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</si>
  <si>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</si>
  <si>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</si>
  <si>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</si>
  <si>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</si>
  <si>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</si>
  <si>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</si>
  <si>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</si>
  <si>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</si>
  <si>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</si>
  <si>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</si>
  <si>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</si>
  <si>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</si>
  <si>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</si>
  <si>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</si>
  <si>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</si>
  <si>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</si>
  <si>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</si>
  <si>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</si>
  <si>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</si>
  <si>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</si>
  <si>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</si>
  <si>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</si>
  <si>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</si>
  <si>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</si>
  <si>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</si>
  <si>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</si>
  <si>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</si>
  <si>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</si>
  <si>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</si>
  <si>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</si>
  <si>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</si>
  <si>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</si>
  <si>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</si>
  <si>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</si>
  <si>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</si>
  <si>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</si>
  <si>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</si>
  <si>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</si>
  <si>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</si>
  <si>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</si>
  <si>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</si>
  <si>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</si>
  <si>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</si>
  <si>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</si>
  <si>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</si>
  <si>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</si>
  <si>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</si>
  <si>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</si>
  <si>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</si>
  <si>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</si>
  <si>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</si>
  <si>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</si>
  <si>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</si>
  <si>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</si>
  <si>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</si>
  <si>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</si>
  <si>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</si>
  <si>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</si>
  <si>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</si>
  <si>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</si>
  <si>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</si>
  <si>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</si>
  <si>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</si>
  <si>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</si>
  <si>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</si>
  <si>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</si>
  <si>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</si>
  <si>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</si>
  <si>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</si>
  <si>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</si>
  <si>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</si>
  <si>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</si>
  <si>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</si>
  <si>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</si>
  <si>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</si>
  <si>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</si>
  <si>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</si>
  <si>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</si>
  <si>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</si>
  <si>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</si>
  <si>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</si>
  <si>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</si>
  <si>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</si>
  <si>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</si>
  <si>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</si>
  <si>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</si>
  <si>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</si>
  <si>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</si>
  <si>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</si>
  <si>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</si>
  <si>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</si>
  <si>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</si>
  <si>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</si>
  <si>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</si>
  <si>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</si>
  <si>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</si>
  <si>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</si>
  <si>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</si>
  <si>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</si>
  <si>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</si>
  <si>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</si>
  <si>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</si>
  <si>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</si>
  <si>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</si>
  <si>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</si>
  <si>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</si>
  <si>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</si>
  <si>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</si>
  <si>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</si>
  <si>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</si>
  <si>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</si>
  <si>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</si>
  <si>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</si>
  <si>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</si>
  <si>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</si>
  <si>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</si>
  <si>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</si>
  <si>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</si>
  <si>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</si>
  <si>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</si>
  <si>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</si>
  <si>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</si>
  <si>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</si>
  <si>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</si>
  <si>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</si>
  <si>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</si>
  <si>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</si>
  <si>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</si>
  <si>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</si>
  <si>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</si>
  <si>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</si>
  <si>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</si>
  <si>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</si>
  <si>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</si>
  <si>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</si>
  <si>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</si>
  <si>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</si>
  <si>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</si>
  <si>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</si>
  <si>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</si>
  <si>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</si>
  <si>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</si>
  <si>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</si>
  <si>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</si>
  <si>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</si>
  <si>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</si>
  <si>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</si>
  <si>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</si>
  <si>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</si>
  <si>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</si>
  <si>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</si>
  <si>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</si>
  <si>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</si>
  <si>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</si>
  <si>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</si>
  <si>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</si>
  <si>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</si>
  <si>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</si>
  <si>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</si>
  <si>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</si>
  <si>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</si>
  <si>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</si>
  <si>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</si>
  <si>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</si>
  <si>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</si>
  <si>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</si>
  <si>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</si>
  <si>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</si>
  <si>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</si>
  <si>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</si>
  <si>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</si>
  <si>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</si>
  <si>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</si>
  <si>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</si>
  <si>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</si>
  <si>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</si>
  <si>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</si>
  <si>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</si>
  <si>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</si>
  <si>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</si>
  <si>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</si>
  <si>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</si>
  <si>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</si>
  <si>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</si>
  <si>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</si>
  <si>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</si>
  <si>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</si>
  <si>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</si>
  <si>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</si>
  <si>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</si>
  <si>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</si>
  <si>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</si>
  <si>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</si>
  <si>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</si>
  <si>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</si>
  <si>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</si>
  <si>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</si>
  <si>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</si>
  <si>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</si>
  <si>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</si>
  <si>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</si>
  <si>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</si>
  <si>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</si>
  <si>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</si>
  <si>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</si>
  <si>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</si>
  <si>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</si>
  <si>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</si>
  <si>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</si>
  <si>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</si>
  <si>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</si>
  <si>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</si>
  <si>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</si>
  <si>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</si>
  <si>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</si>
  <si>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</si>
  <si>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</si>
  <si>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</si>
  <si>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</si>
  <si>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</si>
  <si>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</si>
  <si>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</si>
  <si>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</si>
  <si>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</si>
  <si>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</si>
  <si>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</si>
  <si>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</si>
  <si>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</si>
  <si>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</si>
  <si>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</si>
  <si>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</si>
  <si>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</si>
  <si>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</si>
  <si>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</si>
  <si>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</si>
  <si>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</si>
  <si>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</si>
  <si>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</si>
  <si>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</si>
  <si>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</si>
  <si>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</si>
  <si>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</si>
  <si>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</si>
  <si>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</si>
  <si>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</si>
  <si>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</si>
  <si>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</si>
  <si>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</si>
  <si>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</si>
  <si>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</si>
  <si>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</si>
  <si>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</si>
  <si>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</si>
  <si>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</si>
  <si>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</si>
  <si>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</si>
  <si>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</si>
  <si>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</si>
  <si>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</si>
  <si>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</si>
  <si>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</si>
  <si>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</si>
  <si>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</si>
  <si>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</si>
  <si>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</si>
  <si>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</si>
  <si>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</si>
  <si>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</si>
  <si>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</si>
  <si>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</si>
  <si>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</si>
  <si>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</si>
  <si>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</si>
  <si>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</si>
  <si>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</si>
  <si>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</si>
  <si>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</si>
  <si>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</si>
  <si>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</si>
  <si>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</si>
  <si>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</si>
  <si>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</si>
  <si>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</si>
  <si>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</si>
  <si>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</si>
  <si>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</si>
  <si>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</si>
  <si>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</si>
  <si>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</si>
  <si>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</si>
  <si>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</si>
  <si>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</si>
  <si>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</si>
  <si>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</si>
  <si>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</si>
  <si>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</si>
  <si>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</si>
  <si>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</si>
  <si>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</si>
  <si>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</si>
  <si>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</si>
  <si>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</si>
  <si>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</si>
  <si>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</si>
  <si>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</si>
  <si>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</si>
  <si>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</si>
  <si>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</si>
  <si>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</si>
  <si>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</si>
  <si>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</si>
  <si>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</si>
  <si>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</si>
  <si>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</si>
  <si>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</si>
  <si>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</si>
  <si>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</si>
  <si>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</si>
  <si>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</si>
  <si>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</si>
  <si>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</si>
  <si>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</si>
  <si>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</si>
  <si>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</si>
  <si>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</si>
  <si>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</si>
  <si>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</si>
  <si>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</si>
  <si>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</si>
  <si>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</si>
  <si>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</si>
  <si>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</si>
  <si>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</si>
  <si>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</si>
  <si>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</si>
  <si>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</si>
  <si>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</si>
  <si>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</si>
  <si>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</si>
  <si>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</si>
  <si>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</si>
  <si>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</si>
  <si>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</si>
  <si>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</si>
  <si>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</si>
  <si>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</si>
  <si>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</si>
  <si>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</si>
  <si>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</si>
  <si>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</si>
  <si>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</si>
  <si>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</si>
  <si>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</si>
  <si>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</si>
  <si>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</si>
  <si>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</si>
  <si>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</si>
  <si>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</si>
  <si>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</si>
  <si>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</si>
  <si>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</si>
  <si>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</si>
  <si>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</si>
  <si>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</si>
  <si>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</si>
  <si>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</si>
  <si>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</si>
  <si>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</si>
  <si>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</si>
  <si>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</si>
  <si>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</si>
  <si>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</si>
  <si>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</si>
  <si>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</si>
  <si>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</si>
  <si>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</si>
  <si>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</si>
  <si>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</si>
  <si>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</si>
  <si>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</si>
  <si>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</si>
  <si>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</si>
  <si>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</si>
  <si>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</si>
  <si>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</si>
  <si>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</si>
  <si>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</si>
  <si>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</si>
  <si>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</si>
  <si>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</si>
  <si>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</si>
  <si>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</si>
  <si>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</si>
  <si>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</si>
  <si>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</si>
  <si>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</si>
  <si>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</si>
  <si>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</si>
  <si>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</si>
  <si>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</si>
  <si>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</si>
  <si>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</si>
  <si>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</si>
  <si>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</si>
  <si>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</si>
  <si>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</si>
  <si>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</si>
  <si>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</si>
  <si>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</si>
  <si>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</si>
  <si>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</si>
  <si>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</si>
  <si>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</si>
  <si>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</si>
  <si>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</si>
  <si>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</si>
  <si>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</si>
  <si>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</si>
  <si>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</si>
  <si>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</si>
  <si>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</si>
  <si>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</si>
  <si>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</si>
  <si>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</si>
  <si>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</si>
  <si>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</si>
  <si>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</si>
  <si>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</si>
  <si>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</si>
  <si>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</si>
  <si>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</si>
  <si>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</si>
  <si>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</si>
  <si>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</si>
  <si>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</si>
  <si>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</si>
  <si>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</si>
  <si>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</si>
  <si>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</si>
  <si>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</si>
  <si>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</si>
  <si>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</si>
  <si>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</si>
  <si>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</si>
  <si>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</si>
  <si>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</si>
  <si>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</si>
  <si>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</si>
  <si>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</si>
  <si>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</si>
  <si>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</si>
  <si>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</si>
  <si>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</si>
  <si>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</si>
  <si>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</si>
  <si>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</si>
  <si>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</si>
  <si>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</si>
  <si>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</si>
  <si>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</si>
  <si>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</si>
  <si>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</si>
  <si>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</si>
  <si>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</si>
  <si>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</si>
  <si>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</si>
  <si>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</si>
  <si>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</si>
  <si>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</si>
  <si>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</si>
  <si>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</si>
  <si>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</si>
  <si>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</si>
  <si>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</si>
  <si>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</si>
  <si>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</si>
  <si>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</si>
  <si>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</si>
  <si>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</si>
  <si>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</si>
  <si>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</si>
  <si>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</si>
  <si>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</si>
  <si>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</si>
  <si>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</si>
  <si>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</si>
  <si>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</si>
  <si>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</si>
  <si>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</si>
  <si>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</si>
  <si>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</si>
  <si>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</si>
  <si>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</si>
  <si>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</si>
  <si>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</si>
  <si>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</si>
  <si>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</si>
  <si>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</si>
  <si>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</si>
  <si>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</si>
  <si>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</si>
  <si>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</si>
  <si>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</si>
  <si>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</si>
  <si>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</si>
  <si>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United States</t>
  </si>
  <si>
    <t>Row Labels</t>
  </si>
  <si>
    <t>Grand Total</t>
  </si>
  <si>
    <t>Sum of Sales</t>
  </si>
  <si>
    <t>Sum of Profit</t>
  </si>
  <si>
    <t>Column1</t>
  </si>
  <si>
    <t>Column2</t>
  </si>
  <si>
    <t>Column3</t>
  </si>
  <si>
    <t>Column4</t>
  </si>
  <si>
    <t>Mean</t>
  </si>
  <si>
    <t>Standard Error</t>
  </si>
  <si>
    <t>Median</t>
  </si>
  <si>
    <t>Mode</t>
  </si>
  <si>
    <t>Standard Deviation</t>
  </si>
  <si>
    <t>Sample Variance</t>
  </si>
  <si>
    <t>Kurtosis</t>
  </si>
  <si>
    <t>Skewness</t>
  </si>
  <si>
    <t>Range</t>
  </si>
  <si>
    <t>Minimum</t>
  </si>
  <si>
    <t>Maximum</t>
  </si>
  <si>
    <t>Sum</t>
  </si>
  <si>
    <t>Count</t>
  </si>
  <si>
    <t>VLOOK UP</t>
  </si>
  <si>
    <t>Sr No ( Data Validation )</t>
  </si>
  <si>
    <t>INDEX MATCH</t>
  </si>
  <si>
    <t>Total Sales</t>
  </si>
  <si>
    <t>Total Profit</t>
  </si>
  <si>
    <t>IF</t>
  </si>
  <si>
    <t>Nested</t>
  </si>
  <si>
    <t xml:space="preserve">I don't have any duplicate values in my Database but if I had here is the formula </t>
  </si>
  <si>
    <t>METHOD :- 1</t>
  </si>
  <si>
    <t>METHOD :- 2</t>
  </si>
  <si>
    <r>
      <t xml:space="preserve">Select Range </t>
    </r>
    <r>
      <rPr>
        <b/>
        <sz val="11"/>
        <color theme="1"/>
        <rFont val="Aptos Narrow"/>
        <family val="2"/>
        <scheme val="minor"/>
      </rPr>
      <t>-</t>
    </r>
    <r>
      <rPr>
        <sz val="11"/>
        <color theme="1"/>
        <rFont val="Aptos Narrow"/>
        <family val="2"/>
        <scheme val="minor"/>
      </rPr>
      <t xml:space="preserve"> Data </t>
    </r>
    <r>
      <rPr>
        <b/>
        <sz val="11"/>
        <color theme="1"/>
        <rFont val="Aptos Narrow"/>
        <family val="2"/>
        <scheme val="minor"/>
      </rPr>
      <t>-</t>
    </r>
    <r>
      <rPr>
        <sz val="11"/>
        <color theme="1"/>
        <rFont val="Aptos Narrow"/>
        <family val="2"/>
        <scheme val="minor"/>
      </rPr>
      <t xml:space="preserve"> Remove Duplicates</t>
    </r>
  </si>
  <si>
    <t>=IF(A2=" ", " Not Available ", A2)</t>
  </si>
  <si>
    <t xml:space="preserve">I don't have any Blank in my Database but if I had here is the formula </t>
  </si>
  <si>
    <t>(blank)</t>
  </si>
  <si>
    <r>
      <t xml:space="preserve">Select Range </t>
    </r>
    <r>
      <rPr>
        <b/>
        <sz val="11"/>
        <color theme="1"/>
        <rFont val="Aptos Narrow"/>
        <family val="2"/>
        <scheme val="minor"/>
      </rPr>
      <t>-</t>
    </r>
    <r>
      <rPr>
        <sz val="11"/>
        <color theme="1"/>
        <rFont val="Aptos Narrow"/>
        <family val="2"/>
        <scheme val="minor"/>
      </rPr>
      <t xml:space="preserve"> Home </t>
    </r>
    <r>
      <rPr>
        <b/>
        <sz val="11"/>
        <color theme="1"/>
        <rFont val="Aptos Narrow"/>
        <family val="2"/>
        <scheme val="minor"/>
      </rPr>
      <t>-</t>
    </r>
    <r>
      <rPr>
        <sz val="11"/>
        <color theme="1"/>
        <rFont val="Aptos Narrow"/>
        <family val="2"/>
        <scheme val="minor"/>
      </rPr>
      <t xml:space="preserve"> Conditional Formatting </t>
    </r>
    <r>
      <rPr>
        <b/>
        <sz val="11"/>
        <color theme="1"/>
        <rFont val="Aptos Narrow"/>
        <family val="2"/>
        <scheme val="minor"/>
      </rPr>
      <t>-</t>
    </r>
    <r>
      <rPr>
        <sz val="11"/>
        <color theme="1"/>
        <rFont val="Aptos Narrow"/>
        <family val="2"/>
        <scheme val="minor"/>
      </rPr>
      <t xml:space="preserve"> </t>
    </r>
  </si>
  <si>
    <t>Highlight Cells Rules - Duplicate Values</t>
  </si>
  <si>
    <t>Excel Dashboard Project Documentation</t>
  </si>
  <si>
    <t>Steps Performed:</t>
  </si>
  <si>
    <t>1. Data Import and Initial Cleaning</t>
  </si>
  <si>
    <t>2. Removed duplicates and formatted data types</t>
  </si>
  <si>
    <t>3. Created Pivot Tables for Monthly, Yearly, and Regional Analysis</t>
  </si>
  <si>
    <t>4. Applied Advanced Formulas (IF, Nested IF, VLOOKUP, Total Calculations)</t>
  </si>
  <si>
    <t>5. Built Data Visualizations using Charts</t>
  </si>
  <si>
    <t>6. Created Interactive Dashboard with Pivot-based Charts</t>
  </si>
  <si>
    <t>Sheets Overview:</t>
  </si>
  <si>
    <t>• Database - Raw dataset</t>
  </si>
  <si>
    <t>• Pivot Table - Analytical pivot tables</t>
  </si>
  <si>
    <t>• Descriptive Statistics - Statistical summary</t>
  </si>
  <si>
    <t>• Dashboard - Interactive visual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</si>
</sst>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numFmt numFmtId="165" formatCode="dd\-mm\-yyyy"/>
  </numFmts>
  <fonts count="7" x14ac:knownFonts="1">
    <font>
      <sz val="11"/>
      <color theme="1"/>
      <name val="Aptos Narrow"/>
      <family val="2"/>
      <scheme val="minor"/>
    </font>
    <font>
      <b/>
      <sz val="11"/>
      <color theme="1"/>
      <name val="Aptos Narrow"/>
      <family val="2"/>
      <scheme val="minor"/>
    </font>
    <font>
      <b/>
      <sz val="11"/>
      <color theme="1"/>
      <name val="Aptos Narrow"/>
      <scheme val="minor"/>
    </font>
    <font>
      <i/>
      <sz val="11"/>
      <color theme="1"/>
      <name val="Aptos Narrow"/>
      <family val="2"/>
      <scheme val="minor"/>
    </font>
    <font>
      <sz val="8"/>
      <name val="Aptos Narrow"/>
      <family val="2"/>
      <scheme val="minor"/>
    </font>
    <font>
      <sz val="16"/>
      <color theme="1"/>
      <name val="Aptos Narrow"/>
      <family val="2"/>
      <scheme val="minor"/>
    </font>
    <font>
      <b/>
      <sz val="11"/>
      <name val="Aptos Narrow"/>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theme="2" tint="-0.49998474074526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pivotButton="1"/>
    <xf numFmtId="0" fontId="0" fillId="0" borderId="0" xfId="0" applyAlignment="1">
      <alignment horizontal="left"/>
    </xf>
    <xf numFmtId="2" fontId="0" fillId="0" borderId="0" xfId="0" applyNumberFormat="1"/>
    <xf numFmtId="0" fontId="1" fillId="0" borderId="0" xfId="0" applyFont="1" applyAlignment="1">
      <alignment horizontal="center" vertical="center"/>
    </xf>
    <xf numFmtId="165" fontId="1" fillId="0" borderId="0" xfId="0" applyNumberFormat="1" applyFont="1" applyAlignment="1">
      <alignment horizontal="center" vertical="center"/>
    </xf>
    <xf numFmtId="49" fontId="1" fillId="0" borderId="0" xfId="0" applyNumberFormat="1" applyFont="1" applyAlignment="1">
      <alignment horizontal="center" vertical="center"/>
    </xf>
    <xf numFmtId="164" fontId="1" fillId="0" borderId="0" xfId="0" applyNumberFormat="1" applyFon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49" fontId="0" fillId="0" borderId="0" xfId="0" applyNumberFormat="1" applyAlignment="1">
      <alignment horizontal="center" vertical="center"/>
    </xf>
    <xf numFmtId="0" fontId="0" fillId="0" borderId="1" xfId="0" applyBorder="1" applyAlignment="1">
      <alignment horizontal="center" vertical="center"/>
    </xf>
    <xf numFmtId="10" fontId="0" fillId="0" borderId="0" xfId="0" applyNumberFormat="1" applyAlignment="1">
      <alignment horizontal="center" vertical="center"/>
    </xf>
    <xf numFmtId="2" fontId="0" fillId="0" borderId="1" xfId="0" applyNumberFormat="1" applyBorder="1"/>
    <xf numFmtId="0" fontId="0" fillId="0" borderId="1" xfId="0" applyBorder="1" applyAlignment="1">
      <alignment horizontal="center" vertical="center" wrapText="1"/>
    </xf>
    <xf numFmtId="0" fontId="0" fillId="0" borderId="0" xfId="0" applyNumberFormat="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xf numFmtId="0" fontId="1" fillId="3" borderId="1" xfId="0" applyFont="1" applyFill="1" applyBorder="1" applyAlignment="1">
      <alignment horizontal="center" vertical="center"/>
    </xf>
    <xf numFmtId="49" fontId="0" fillId="0" borderId="2" xfId="0" applyNumberFormat="1" applyBorder="1" applyAlignment="1">
      <alignment horizontal="center" vertical="center"/>
    </xf>
    <xf numFmtId="49" fontId="0" fillId="0" borderId="3" xfId="0" applyNumberFormat="1" applyBorder="1" applyAlignment="1">
      <alignment horizontal="center" vertical="center"/>
    </xf>
    <xf numFmtId="0" fontId="3" fillId="2" borderId="1" xfId="0" applyFont="1" applyFill="1" applyBorder="1" applyAlignment="1">
      <alignment horizontal="center"/>
    </xf>
    <xf numFmtId="0" fontId="3" fillId="2" borderId="1" xfId="0" applyFont="1" applyFill="1" applyBorder="1" applyAlignment="1">
      <alignment horizontal="center"/>
    </xf>
    <xf numFmtId="0" fontId="0" fillId="0" borderId="1" xfId="0" applyBorder="1"/>
    <xf numFmtId="0" fontId="0" fillId="0" borderId="0" xfId="0" applyAlignment="1">
      <alignment horizontal="left" indent="1"/>
    </xf>
    <xf numFmtId="0" fontId="0" fillId="4" borderId="0" xfId="0" applyFill="1"/>
    <xf numFmtId="0" fontId="0" fillId="0" borderId="1" xfId="0" applyBorder="1" applyAlignment="1">
      <alignment horizontal="left" vertical="top"/>
    </xf>
    <xf numFmtId="0" fontId="0" fillId="5" borderId="0" xfId="0" applyFill="1"/>
    <xf numFmtId="0" fontId="0" fillId="0" borderId="0" xfId="0" applyAlignment="1">
      <alignment horizontal="left" vertical="center" indent="1"/>
    </xf>
    <xf numFmtId="0" fontId="0" fillId="0" borderId="0" xfId="0" applyAlignment="1">
      <alignment horizontal="center" vertical="center"/>
    </xf>
    <xf numFmtId="0" fontId="0" fillId="0" borderId="0" xfId="0" applyAlignment="1">
      <alignment horizontal="left" vertical="center" indent="1"/>
    </xf>
    <xf numFmtId="0" fontId="0" fillId="0" borderId="0" xfId="0" applyAlignment="1">
      <alignment vertical="center"/>
    </xf>
    <xf numFmtId="0" fontId="5" fillId="2" borderId="0" xfId="0" applyFont="1" applyFill="1" applyAlignment="1">
      <alignment horizontal="center"/>
    </xf>
    <xf numFmtId="0" fontId="6" fillId="2" borderId="0" xfId="0" applyFont="1" applyFill="1" applyAlignment="1">
      <alignment horizontal="center"/>
    </xf>
    <xf numFmtId="0" fontId="1" fillId="2" borderId="0" xfId="0" applyFont="1" applyFill="1"/>
    <xf numFmtId="0" fontId="0" fillId="2" borderId="0" xfId="0" applyFill="1"/>
    <xf numFmtId="0" fontId="0" fillId="0" borderId="0" xfId="0"/>
  </cellXfs>
  <cellStyles count="1">
    <cellStyle name="Normal" xfId="0" builtinId="0"/>
  </cellStyles>
  <dxfs count="31">
    <dxf>
      <alignment horizontal="left" vertical="top" textRotation="0" wrapText="0" indent="0" justifyLastLine="0" shrinkToFit="0" readingOrder="0"/>
    </dxf>
    <dxf>
      <alignment horizontal="left" vertical="top" textRotation="0" wrapText="0" indent="0" justifyLastLine="0" shrinkToFit="0" readingOrder="0"/>
    </dxf>
    <dxf>
      <numFmt numFmtId="2"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dd\-mm\-yyyy"/>
      <alignment horizontal="center" vertical="center" textRotation="0" wrapText="0" indent="0" justifyLastLine="0" shrinkToFit="0" readingOrder="0"/>
    </dxf>
    <dxf>
      <numFmt numFmtId="164" formatCode="mmm"/>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dd\-mm\-yyyy"/>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sz val="11"/>
        <color theme="1"/>
      </font>
      <fill>
        <patternFill>
          <bgColor theme="0"/>
        </patternFill>
      </fill>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color theme="1"/>
      </font>
      <fill>
        <patternFill patternType="solid">
          <bgColor theme="1"/>
        </patternFill>
      </fill>
      <border diagonalUp="0" diagonalDown="0">
        <left/>
        <right/>
        <top/>
        <bottom/>
        <vertical/>
        <horizontal/>
      </border>
    </dxf>
  </dxfs>
  <tableStyles count="4" defaultTableStyle="TableStyleMedium2" defaultPivotStyle="PivotStyleLight16">
    <tableStyle name="SlicerStyleDark1 2" pivot="0" table="0" count="10" xr9:uid="{1ECB1477-2ED7-4419-A95D-E44C8A582739}">
      <tableStyleElement type="wholeTable" dxfId="30"/>
      <tableStyleElement type="headerRow" dxfId="29"/>
    </tableStyle>
    <tableStyle name="Timeline Style 1" pivot="0" table="0" count="8" xr9:uid="{83E0EB49-CEAE-4B82-BF9D-A718B10D4FD8}">
      <tableStyleElement type="wholeTable" dxfId="28"/>
      <tableStyleElement type="headerRow" dxfId="27"/>
    </tableStyle>
    <tableStyle name="Timeline Style 2" pivot="0" table="0" count="8" xr9:uid="{E5655F83-8167-46FA-91E1-DB1E777ED66C}">
      <tableStyleElement type="wholeTable" dxfId="26"/>
      <tableStyleElement type="headerRow" dxfId="25"/>
    </tableStyle>
    <tableStyle name="Timeline Style 3" pivot="0" table="0" count="8" xr9:uid="{F2D437A7-22C9-4D2D-856D-4AB0CF765C71}">
      <tableStyleElement type="wholeTable" dxfId="24"/>
      <tableStyleElement type="headerRow" dxfId="23"/>
    </tableStyle>
  </tableStyles>
  <colors>
    <mruColors>
      <color rgb="FF66FFCC"/>
      <color rgb="FF111111"/>
      <color rgb="FF66FF66"/>
      <color rgb="FFE5010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rgb="FF92D050"/>
            </patternFill>
          </fill>
        </dxf>
        <dxf>
          <font>
            <sz val="9"/>
            <color theme="1" tint="0.499984740745262"/>
          </font>
        </dxf>
        <dxf>
          <font>
            <sz val="9"/>
            <color theme="1" tint="0.499984740745262"/>
          </font>
        </dxf>
        <dxf>
          <font>
            <sz val="9"/>
            <color theme="1" tint="0.499984740745262"/>
          </font>
        </dxf>
        <dxf>
          <font>
            <sz val="10"/>
            <color theme="0"/>
            <name val="Aptos Narrow"/>
            <family val="2"/>
            <scheme val="minor"/>
          </font>
        </dxf>
        <dxf>
          <fill>
            <patternFill patternType="solid">
              <fgColor theme="0" tint="-0.14999847407452621"/>
              <bgColor theme="0" tint="-0.14999847407452621"/>
            </patternFill>
          </fill>
        </dxf>
        <dxf>
          <fill>
            <patternFill patternType="solid">
              <fgColor theme="0"/>
              <bgColor rgb="FF66FF66"/>
            </patternFill>
          </fill>
        </dxf>
        <dxf>
          <font>
            <sz val="9"/>
            <color theme="1" tint="0.499984740745262"/>
          </font>
        </dxf>
        <dxf>
          <font>
            <sz val="9"/>
            <color theme="1" tint="0.499984740745262"/>
          </font>
        </dxf>
        <dxf>
          <font>
            <sz val="9"/>
            <color theme="0"/>
            <name val="Aptos Narrow"/>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[Ajay_ExcelDashboard.xlsx]Pivot Table!PivotTable1</c:name>
    <c:fmtId val="1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Table'!$B$4:$B$17</c:f>
              <c:numCache>
                <c:formatCode>0.00</c:formatCode>
                <c:ptCount val="13"/>
                <c:pt idx="0">
                  <c:v>6888.6839999999993</c:v>
                </c:pt>
                <c:pt idx="1">
                  <c:v>861.36200000000008</c:v>
                </c:pt>
                <c:pt idx="2">
                  <c:v>9143.8419999999987</c:v>
                </c:pt>
                <c:pt idx="3">
                  <c:v>8886.4913000000015</c:v>
                </c:pt>
                <c:pt idx="4">
                  <c:v>1810.7179999999998</c:v>
                </c:pt>
                <c:pt idx="5">
                  <c:v>14570.197</c:v>
                </c:pt>
                <c:pt idx="6">
                  <c:v>3746.88</c:v>
                </c:pt>
                <c:pt idx="7">
                  <c:v>5941.8580000000002</c:v>
                </c:pt>
                <c:pt idx="8">
                  <c:v>41174.699599999993</c:v>
                </c:pt>
                <c:pt idx="9">
                  <c:v>11411.163499999999</c:v>
                </c:pt>
                <c:pt idx="10">
                  <c:v>15944.664500000004</c:v>
                </c:pt>
                <c:pt idx="11">
                  <c:v>21968.472200000004</c:v>
                </c:pt>
              </c:numCache>
            </c:numRef>
          </c:val>
          <c:extLst>
            <c:ext xmlns:c16="http://schemas.microsoft.com/office/drawing/2014/chart" uri="{C3380CC4-5D6E-409C-BE32-E72D297353CC}">
              <c16:uniqueId val="{00000000-AA6F-49F1-A77E-38C6708A9080}"/>
            </c:ext>
          </c:extLst>
        </c:ser>
        <c:dLbls>
          <c:showLegendKey val="0"/>
          <c:showVal val="0"/>
          <c:showCatName val="0"/>
          <c:showSerName val="0"/>
          <c:showPercent val="0"/>
          <c:showBubbleSize val="0"/>
        </c:dLbls>
        <c:gapWidth val="315"/>
        <c:overlap val="-40"/>
        <c:axId val="39487439"/>
        <c:axId val="39488399"/>
      </c:barChart>
      <c:catAx>
        <c:axId val="394874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488399"/>
        <c:crosses val="autoZero"/>
        <c:auto val="1"/>
        <c:lblAlgn val="ctr"/>
        <c:lblOffset val="100"/>
        <c:noMultiLvlLbl val="0"/>
      </c:catAx>
      <c:valAx>
        <c:axId val="394883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48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[Ajay_ExcelDashboard.xlsx]Pivot Table!PivotTable4</c:name>
    <c:fmtId val="1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Table'!$K$3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invertIfNegative val="0"/>
          <c:cat>
            <c:strRef>
              <c:f>'Pivot Table'!$J$4:$J$6</c:f>
              <c:strCache>
                <c:ptCount val="2"/>
                <c:pt idx="0">
                  <c:v>United States</c:v>
                </c:pt>
                <c:pt idx="1">
                  <c:v>(blank)</c:v>
                </c:pt>
              </c:strCache>
            </c:strRef>
          </c:cat>
          <c:val>
            <c:numRef>
              <c:f>'Pivot Table'!$K$4:$K$6</c:f>
              <c:numCache>
                <c:formatCode>0.00</c:formatCode>
                <c:ptCount val="2"/>
                <c:pt idx="0">
                  <c:v>142349.03210000001</c:v>
                </c:pt>
              </c:numCache>
            </c:numRef>
          </c:val>
          <c:extLst>
            <c:ext xmlns:c16="http://schemas.microsoft.com/office/drawing/2014/chart" uri="{C3380CC4-5D6E-409C-BE32-E72D297353CC}">
              <c16:uniqueId val="{00000000-1060-435B-A9FE-A2677B80A9C2}"/>
            </c:ext>
          </c:extLst>
        </c:ser>
        <c:dLbls>
          <c:showLegendKey val="0"/>
          <c:showVal val="0"/>
          <c:showCatName val="0"/>
          <c:showSerName val="0"/>
          <c:showPercent val="0"/>
          <c:showBubbleSize val="0"/>
        </c:dLbls>
        <c:gapWidth val="150"/>
        <c:shape val="box"/>
        <c:axId val="168997967"/>
        <c:axId val="168992687"/>
        <c:axId val="0"/>
      </c:bar3DChart>
      <c:catAx>
        <c:axId val="1689979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992687"/>
        <c:crosses val="autoZero"/>
        <c:auto val="1"/>
        <c:lblAlgn val="ctr"/>
        <c:lblOffset val="100"/>
        <c:noMultiLvlLbl val="0"/>
      </c:catAx>
      <c:valAx>
        <c:axId val="1689926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99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0402818068794"/>
          <c:y val="0.14584683993669195"/>
          <c:w val="0.77500140903439707"/>
          <c:h val="0.75655315663662093"/>
        </c:manualLayout>
      </c:layout>
      <c:lineChart>
        <c:grouping val="stacke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5"/>
              <c:pt idx="0">
                <c:v>First Class</c:v>
              </c:pt>
              <c:pt idx="1">
                <c:v>Same Day</c:v>
              </c:pt>
              <c:pt idx="2">
                <c:v>Second Class</c:v>
              </c:pt>
              <c:pt idx="3">
                <c:v>Standard Class</c:v>
              </c:pt>
              <c:pt idx="4">
                <c:v>(blank)</c:v>
              </c:pt>
            </c:strLit>
          </c:cat>
          <c:val>
            <c:numLit>
              <c:formatCode>General</c:formatCode>
              <c:ptCount val="5"/>
              <c:pt idx="0">
                <c:v>19681.288999999997</c:v>
              </c:pt>
              <c:pt idx="1">
                <c:v>1179.27</c:v>
              </c:pt>
              <c:pt idx="2">
                <c:v>32922.385599999987</c:v>
              </c:pt>
              <c:pt idx="3">
                <c:v>88566.087500000081</c:v>
              </c:pt>
              <c:pt idx="4">
                <c:v>0</c:v>
              </c:pt>
            </c:numLit>
          </c:val>
          <c:smooth val="0"/>
          <c:extLst>
            <c:ext xmlns:c16="http://schemas.microsoft.com/office/drawing/2014/chart" uri="{C3380CC4-5D6E-409C-BE32-E72D297353CC}">
              <c16:uniqueId val="{00000000-1928-46C1-8582-623BAA4A8428}"/>
            </c:ext>
          </c:extLst>
        </c:ser>
        <c:dLbls>
          <c:showLegendKey val="0"/>
          <c:showVal val="0"/>
          <c:showCatName val="0"/>
          <c:showSerName val="0"/>
          <c:showPercent val="0"/>
          <c:showBubbleSize val="0"/>
        </c:dLbls>
        <c:marker val="1"/>
        <c:smooth val="0"/>
        <c:axId val="1414412351"/>
        <c:axId val="1414408991"/>
      </c:lineChart>
      <c:catAx>
        <c:axId val="14144123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08991"/>
        <c:crosses val="autoZero"/>
        <c:auto val="1"/>
        <c:lblAlgn val="ctr"/>
        <c:lblOffset val="100"/>
        <c:noMultiLvlLbl val="0"/>
      </c:catAx>
      <c:valAx>
        <c:axId val="1414408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1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[Ajay_ExcelDashboard.xlsx]Pivot Table!PivotTable7</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Table'!$D$4:$D$17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Table'!$E$4:$E$17</c:f>
              <c:numCache>
                <c:formatCode>0.00</c:formatCode>
                <c:ptCount val="13"/>
                <c:pt idx="0">
                  <c:v>26.043400000000119</c:v>
                </c:pt>
                <c:pt idx="1">
                  <c:v>22.115600000000004</c:v>
                </c:pt>
                <c:pt idx="2">
                  <c:v>3525.4247</c:v>
                </c:pt>
                <c:pt idx="3">
                  <c:v>-1829.1047999999994</c:v>
                </c:pt>
                <c:pt idx="4">
                  <c:v>231.41219999999998</c:v>
                </c:pt>
                <c:pt idx="5">
                  <c:v>2100.0939000000003</c:v>
                </c:pt>
                <c:pt idx="6">
                  <c:v>519.01209999999992</c:v>
                </c:pt>
                <c:pt idx="7">
                  <c:v>-175.2713</c:v>
                </c:pt>
                <c:pt idx="8">
                  <c:v>-690.10139999999967</c:v>
                </c:pt>
                <c:pt idx="9">
                  <c:v>1042.8764000000001</c:v>
                </c:pt>
                <c:pt idx="10">
                  <c:v>3321.9651999999983</c:v>
                </c:pt>
                <c:pt idx="11">
                  <c:v>2064.2576000000004</c:v>
                </c:pt>
              </c:numCache>
            </c:numRef>
          </c:val>
          <c:extLst>
            <c:ext xmlns:c16="http://schemas.microsoft.com/office/drawing/2014/chart" uri="{C3380CC4-5D6E-409C-BE32-E72D297353CC}">
              <c16:uniqueId val="{00000000-9057-4F71-85AB-B4564B507D63}"/>
            </c:ext>
          </c:extLst>
        </c:ser>
        <c:dLbls>
          <c:showLegendKey val="0"/>
          <c:showVal val="0"/>
          <c:showCatName val="0"/>
          <c:showSerName val="0"/>
          <c:showPercent val="0"/>
          <c:showBubbleSize val="0"/>
        </c:dLbls>
        <c:gapWidth val="100"/>
        <c:overlap val="-24"/>
        <c:axId val="1571153151"/>
        <c:axId val="1571158911"/>
      </c:barChart>
      <c:catAx>
        <c:axId val="1571153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1158911"/>
        <c:crosses val="autoZero"/>
        <c:auto val="1"/>
        <c:lblAlgn val="ctr"/>
        <c:lblOffset val="100"/>
        <c:noMultiLvlLbl val="0"/>
      </c:catAx>
      <c:valAx>
        <c:axId val="157115891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115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[Ajay_ExcelDashboard.xlsx]Pivot Table!PivotTable1</c:name>
    <c:fmtId val="1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Table'!$B$4:$B$17</c:f>
              <c:numCache>
                <c:formatCode>0.00</c:formatCode>
                <c:ptCount val="13"/>
                <c:pt idx="0">
                  <c:v>6888.6839999999993</c:v>
                </c:pt>
                <c:pt idx="1">
                  <c:v>861.36200000000008</c:v>
                </c:pt>
                <c:pt idx="2">
                  <c:v>9143.8419999999987</c:v>
                </c:pt>
                <c:pt idx="3">
                  <c:v>8886.4913000000015</c:v>
                </c:pt>
                <c:pt idx="4">
                  <c:v>1810.7179999999998</c:v>
                </c:pt>
                <c:pt idx="5">
                  <c:v>14570.197</c:v>
                </c:pt>
                <c:pt idx="6">
                  <c:v>3746.88</c:v>
                </c:pt>
                <c:pt idx="7">
                  <c:v>5941.8580000000002</c:v>
                </c:pt>
                <c:pt idx="8">
                  <c:v>41174.699599999993</c:v>
                </c:pt>
                <c:pt idx="9">
                  <c:v>11411.163499999999</c:v>
                </c:pt>
                <c:pt idx="10">
                  <c:v>15944.664500000004</c:v>
                </c:pt>
                <c:pt idx="11">
                  <c:v>21968.472200000004</c:v>
                </c:pt>
              </c:numCache>
            </c:numRef>
          </c:val>
          <c:extLst>
            <c:ext xmlns:c16="http://schemas.microsoft.com/office/drawing/2014/chart" uri="{C3380CC4-5D6E-409C-BE32-E72D297353CC}">
              <c16:uniqueId val="{00000000-93C5-4F0C-8B54-9DCE5A04838C}"/>
            </c:ext>
          </c:extLst>
        </c:ser>
        <c:dLbls>
          <c:showLegendKey val="0"/>
          <c:showVal val="0"/>
          <c:showCatName val="0"/>
          <c:showSerName val="0"/>
          <c:showPercent val="0"/>
          <c:showBubbleSize val="0"/>
        </c:dLbls>
        <c:gapWidth val="315"/>
        <c:overlap val="-40"/>
        <c:axId val="39487439"/>
        <c:axId val="39488399"/>
      </c:barChart>
      <c:catAx>
        <c:axId val="394874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488399"/>
        <c:crosses val="autoZero"/>
        <c:auto val="1"/>
        <c:lblAlgn val="ctr"/>
        <c:lblOffset val="100"/>
        <c:noMultiLvlLbl val="0"/>
      </c:catAx>
      <c:valAx>
        <c:axId val="394883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48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[Ajay_ExcelDashboard.xlsx]Pivot Table!PivotTable4</c:name>
    <c:fmtId val="1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Table'!$K$3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a:sp3d contourW="9525">
              <a:contourClr>
                <a:schemeClr val="accent1"/>
              </a:contourClr>
            </a:sp3d>
          </c:spPr>
          <c:invertIfNegative val="0"/>
          <c:cat>
            <c:strRef>
              <c:f>'Pivot Table'!$J$4:$J$6</c:f>
              <c:strCache>
                <c:ptCount val="2"/>
                <c:pt idx="0">
                  <c:v>United States</c:v>
                </c:pt>
                <c:pt idx="1">
                  <c:v>(blank)</c:v>
                </c:pt>
              </c:strCache>
            </c:strRef>
          </c:cat>
          <c:val>
            <c:numRef>
              <c:f>'Pivot Table'!$K$4:$K$6</c:f>
              <c:numCache>
                <c:formatCode>0.00</c:formatCode>
                <c:ptCount val="2"/>
                <c:pt idx="0">
                  <c:v>142349.03210000001</c:v>
                </c:pt>
              </c:numCache>
            </c:numRef>
          </c:val>
          <c:extLst>
            <c:ext xmlns:c16="http://schemas.microsoft.com/office/drawing/2014/chart" uri="{C3380CC4-5D6E-409C-BE32-E72D297353CC}">
              <c16:uniqueId val="{00000000-27D0-4FC0-8CD7-CA95C09301C3}"/>
            </c:ext>
          </c:extLst>
        </c:ser>
        <c:dLbls>
          <c:showLegendKey val="0"/>
          <c:showVal val="0"/>
          <c:showCatName val="0"/>
          <c:showSerName val="0"/>
          <c:showPercent val="0"/>
          <c:showBubbleSize val="0"/>
        </c:dLbls>
        <c:gapWidth val="150"/>
        <c:shape val="box"/>
        <c:axId val="168997967"/>
        <c:axId val="168992687"/>
        <c:axId val="0"/>
      </c:bar3DChart>
      <c:catAx>
        <c:axId val="1689979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992687"/>
        <c:crosses val="autoZero"/>
        <c:auto val="1"/>
        <c:lblAlgn val="ctr"/>
        <c:lblOffset val="100"/>
        <c:noMultiLvlLbl val="0"/>
      </c:catAx>
      <c:valAx>
        <c:axId val="1689926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99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5"/>
              <c:pt idx="0">
                <c:v>First Class</c:v>
              </c:pt>
              <c:pt idx="1">
                <c:v>Same Day</c:v>
              </c:pt>
              <c:pt idx="2">
                <c:v>Second Class</c:v>
              </c:pt>
              <c:pt idx="3">
                <c:v>Standard Class</c:v>
              </c:pt>
              <c:pt idx="4">
                <c:v>(blank)</c:v>
              </c:pt>
            </c:strLit>
          </c:cat>
          <c:val>
            <c:numLit>
              <c:formatCode>General</c:formatCode>
              <c:ptCount val="5"/>
              <c:pt idx="0">
                <c:v>19681.288999999997</c:v>
              </c:pt>
              <c:pt idx="1">
                <c:v>1179.27</c:v>
              </c:pt>
              <c:pt idx="2">
                <c:v>32922.385599999987</c:v>
              </c:pt>
              <c:pt idx="3">
                <c:v>88566.087500000081</c:v>
              </c:pt>
              <c:pt idx="4">
                <c:v>0</c:v>
              </c:pt>
            </c:numLit>
          </c:val>
          <c:smooth val="0"/>
          <c:extLst>
            <c:ext xmlns:c16="http://schemas.microsoft.com/office/drawing/2014/chart" uri="{C3380CC4-5D6E-409C-BE32-E72D297353CC}">
              <c16:uniqueId val="{00000000-7E86-4793-8262-C441D42AD200}"/>
            </c:ext>
          </c:extLst>
        </c:ser>
        <c:dLbls>
          <c:showLegendKey val="0"/>
          <c:showVal val="0"/>
          <c:showCatName val="0"/>
          <c:showSerName val="0"/>
          <c:showPercent val="0"/>
          <c:showBubbleSize val="0"/>
        </c:dLbls>
        <c:marker val="1"/>
        <c:smooth val="0"/>
        <c:axId val="1414412351"/>
        <c:axId val="1414408991"/>
      </c:lineChart>
      <c:catAx>
        <c:axId val="14144123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08991"/>
        <c:crosses val="autoZero"/>
        <c:auto val="1"/>
        <c:lblAlgn val="ctr"/>
        <c:lblOffset val="100"/>
        <c:noMultiLvlLbl val="0"/>
      </c:catAx>
      <c:valAx>
        <c:axId val="1414408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1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microsoft.com/office/2017/06/relationships/model3d" Target="../media/model3d1.glb"/><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553936</xdr:colOff>
      <xdr:row>1</xdr:row>
      <xdr:rowOff>73005</xdr:rowOff>
    </xdr:from>
    <xdr:to>
      <xdr:col>37</xdr:col>
      <xdr:colOff>391808</xdr:colOff>
      <xdr:row>7</xdr:row>
      <xdr:rowOff>88769</xdr:rowOff>
    </xdr:to>
    <xdr:sp macro="" textlink="">
      <xdr:nvSpPr>
        <xdr:cNvPr id="2" name="Rectangle 1">
          <a:extLst>
            <a:ext uri="{FF2B5EF4-FFF2-40B4-BE49-F238E27FC236}">
              <a16:creationId xmlns:a16="http://schemas.microsoft.com/office/drawing/2014/main" id="{9601F8ED-A72A-78EC-7604-3189222E3179}"/>
            </a:ext>
          </a:extLst>
        </xdr:cNvPr>
        <xdr:cNvSpPr/>
      </xdr:nvSpPr>
      <xdr:spPr>
        <a:xfrm>
          <a:off x="553936" y="262154"/>
          <a:ext cx="22333085" cy="11506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i="0"/>
            <a:t>                                                                          </a:t>
          </a:r>
          <a:r>
            <a:rPr lang="en-IN" sz="4800" i="0"/>
            <a:t>SALSE </a:t>
          </a:r>
          <a:r>
            <a:rPr lang="en-IN" sz="4800" i="0" baseline="0"/>
            <a:t> TRACKING DASHBOARD</a:t>
          </a:r>
          <a:endParaRPr lang="en-IN" sz="3200" i="0"/>
        </a:p>
      </xdr:txBody>
    </xdr:sp>
    <xdr:clientData/>
  </xdr:twoCellAnchor>
  <xdr:twoCellAnchor>
    <xdr:from>
      <xdr:col>7</xdr:col>
      <xdr:colOff>469494</xdr:colOff>
      <xdr:row>9</xdr:row>
      <xdr:rowOff>172825</xdr:rowOff>
    </xdr:from>
    <xdr:to>
      <xdr:col>15</xdr:col>
      <xdr:colOff>148617</xdr:colOff>
      <xdr:row>23</xdr:row>
      <xdr:rowOff>10134</xdr:rowOff>
    </xdr:to>
    <xdr:sp macro="" textlink="">
      <xdr:nvSpPr>
        <xdr:cNvPr id="3" name="Flowchart: Process 2">
          <a:extLst>
            <a:ext uri="{FF2B5EF4-FFF2-40B4-BE49-F238E27FC236}">
              <a16:creationId xmlns:a16="http://schemas.microsoft.com/office/drawing/2014/main" id="{94143A06-8D00-5EEA-3437-E207DBF48503}"/>
            </a:ext>
          </a:extLst>
        </xdr:cNvPr>
        <xdr:cNvSpPr/>
      </xdr:nvSpPr>
      <xdr:spPr>
        <a:xfrm>
          <a:off x="4725345" y="1875165"/>
          <a:ext cx="4542953" cy="2485395"/>
        </a:xfrm>
        <a:prstGeom prst="flowChartProcess">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             TOTALE SALSE</a:t>
          </a:r>
        </a:p>
        <a:p>
          <a:pPr algn="l"/>
          <a:endParaRPr lang="en-IN" sz="3200"/>
        </a:p>
        <a:p>
          <a:pPr algn="l"/>
          <a:r>
            <a:rPr lang="en-IN" sz="2800" b="0" i="0" u="none" strike="noStrike">
              <a:solidFill>
                <a:schemeClr val="lt1"/>
              </a:solidFill>
              <a:effectLst/>
              <a:latin typeface="+mn-lt"/>
              <a:ea typeface="+mn-ea"/>
              <a:cs typeface="+mn-cs"/>
            </a:rPr>
            <a:t>                     142349.03</a:t>
          </a:r>
          <a:r>
            <a:rPr lang="en-IN" sz="2800"/>
            <a:t> </a:t>
          </a:r>
        </a:p>
      </xdr:txBody>
    </xdr:sp>
    <xdr:clientData/>
  </xdr:twoCellAnchor>
  <xdr:twoCellAnchor>
    <xdr:from>
      <xdr:col>16</xdr:col>
      <xdr:colOff>27021</xdr:colOff>
      <xdr:row>10</xdr:row>
      <xdr:rowOff>2155</xdr:rowOff>
    </xdr:from>
    <xdr:to>
      <xdr:col>24</xdr:col>
      <xdr:colOff>81063</xdr:colOff>
      <xdr:row>23</xdr:row>
      <xdr:rowOff>28613</xdr:rowOff>
    </xdr:to>
    <xdr:sp macro="" textlink="">
      <xdr:nvSpPr>
        <xdr:cNvPr id="4" name="Flowchart: Process 3">
          <a:extLst>
            <a:ext uri="{FF2B5EF4-FFF2-40B4-BE49-F238E27FC236}">
              <a16:creationId xmlns:a16="http://schemas.microsoft.com/office/drawing/2014/main" id="{78CA70AA-2A97-4DC1-B371-20427C84676F}"/>
            </a:ext>
          </a:extLst>
        </xdr:cNvPr>
        <xdr:cNvSpPr/>
      </xdr:nvSpPr>
      <xdr:spPr>
        <a:xfrm>
          <a:off x="9754681" y="1893644"/>
          <a:ext cx="4917871" cy="2485395"/>
        </a:xfrm>
        <a:prstGeom prst="flowChartProcess">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                TOTAL PROFIT</a:t>
          </a:r>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endParaRPr lang="en-IN" sz="1100" b="0" i="0" u="none" strike="noStrike">
            <a:solidFill>
              <a:schemeClr val="lt1"/>
            </a:solidFill>
            <a:effectLst/>
            <a:latin typeface="+mn-lt"/>
            <a:ea typeface="+mn-ea"/>
            <a:cs typeface="+mn-cs"/>
          </a:endParaRPr>
        </a:p>
        <a:p>
          <a:pPr algn="l"/>
          <a:r>
            <a:rPr lang="en-IN" sz="2800" b="0" i="0" u="none" strike="noStrike">
              <a:solidFill>
                <a:schemeClr val="lt1"/>
              </a:solidFill>
              <a:effectLst/>
              <a:latin typeface="+mn-lt"/>
              <a:ea typeface="+mn-ea"/>
              <a:cs typeface="+mn-cs"/>
            </a:rPr>
            <a:t>                        10158.72</a:t>
          </a:r>
          <a:r>
            <a:rPr lang="en-IN" sz="2800"/>
            <a:t> </a:t>
          </a:r>
        </a:p>
      </xdr:txBody>
    </xdr:sp>
    <xdr:clientData/>
  </xdr:twoCellAnchor>
  <xdr:twoCellAnchor>
    <xdr:from>
      <xdr:col>24</xdr:col>
      <xdr:colOff>585730</xdr:colOff>
      <xdr:row>8</xdr:row>
      <xdr:rowOff>73994</xdr:rowOff>
    </xdr:from>
    <xdr:to>
      <xdr:col>36</xdr:col>
      <xdr:colOff>138584</xdr:colOff>
      <xdr:row>24</xdr:row>
      <xdr:rowOff>81064</xdr:rowOff>
    </xdr:to>
    <xdr:graphicFrame macro="">
      <xdr:nvGraphicFramePr>
        <xdr:cNvPr id="7" name="Chart 6">
          <a:extLst>
            <a:ext uri="{FF2B5EF4-FFF2-40B4-BE49-F238E27FC236}">
              <a16:creationId xmlns:a16="http://schemas.microsoft.com/office/drawing/2014/main" id="{4A38BB96-021A-4C6C-8FD8-6BCB330DA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53658</xdr:colOff>
      <xdr:row>25</xdr:row>
      <xdr:rowOff>94575</xdr:rowOff>
    </xdr:from>
    <xdr:to>
      <xdr:col>24</xdr:col>
      <xdr:colOff>118863</xdr:colOff>
      <xdr:row>46</xdr:row>
      <xdr:rowOff>27023</xdr:rowOff>
    </xdr:to>
    <xdr:graphicFrame macro="">
      <xdr:nvGraphicFramePr>
        <xdr:cNvPr id="8" name="Chart 7">
          <a:extLst>
            <a:ext uri="{FF2B5EF4-FFF2-40B4-BE49-F238E27FC236}">
              <a16:creationId xmlns:a16="http://schemas.microsoft.com/office/drawing/2014/main" id="{E484CACC-9418-4B92-BCCA-259EEDD0E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566735</xdr:colOff>
      <xdr:row>25</xdr:row>
      <xdr:rowOff>81065</xdr:rowOff>
    </xdr:from>
    <xdr:to>
      <xdr:col>36</xdr:col>
      <xdr:colOff>173388</xdr:colOff>
      <xdr:row>46</xdr:row>
      <xdr:rowOff>10135</xdr:rowOff>
    </xdr:to>
    <xdr:graphicFrame macro="">
      <xdr:nvGraphicFramePr>
        <xdr:cNvPr id="9" name="Chart 8">
          <a:extLst>
            <a:ext uri="{FF2B5EF4-FFF2-40B4-BE49-F238E27FC236}">
              <a16:creationId xmlns:a16="http://schemas.microsoft.com/office/drawing/2014/main" id="{AB384BA9-6EBD-4DFE-9CE9-F71A0603C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79978</xdr:colOff>
      <xdr:row>10</xdr:row>
      <xdr:rowOff>17242</xdr:rowOff>
    </xdr:from>
    <xdr:to>
      <xdr:col>6</xdr:col>
      <xdr:colOff>97615</xdr:colOff>
      <xdr:row>25</xdr:row>
      <xdr:rowOff>101685</xdr:rowOff>
    </xdr:to>
    <mc:AlternateContent xmlns:mc="http://schemas.openxmlformats.org/markup-compatibility/2006">
      <mc:Choice xmlns:a14="http://schemas.microsoft.com/office/drawing/2010/main" Requires="a14">
        <xdr:graphicFrame macro="">
          <xdr:nvGraphicFramePr>
            <xdr:cNvPr id="10" name="Month 1">
              <a:extLst>
                <a:ext uri="{FF2B5EF4-FFF2-40B4-BE49-F238E27FC236}">
                  <a16:creationId xmlns:a16="http://schemas.microsoft.com/office/drawing/2014/main" id="{24C3D28E-4EDE-4EF2-BEBD-9F9DA5FFBC8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95935" y="1908731"/>
              <a:ext cx="2449552" cy="2921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486383</xdr:colOff>
      <xdr:row>25</xdr:row>
      <xdr:rowOff>94575</xdr:rowOff>
    </xdr:from>
    <xdr:to>
      <xdr:col>15</xdr:col>
      <xdr:colOff>132405</xdr:colOff>
      <xdr:row>46</xdr:row>
      <xdr:rowOff>40530</xdr:rowOff>
    </xdr:to>
    <xdr:graphicFrame macro="">
      <xdr:nvGraphicFramePr>
        <xdr:cNvPr id="11" name="Chart 10">
          <a:extLst>
            <a:ext uri="{FF2B5EF4-FFF2-40B4-BE49-F238E27FC236}">
              <a16:creationId xmlns:a16="http://schemas.microsoft.com/office/drawing/2014/main" id="{0B3CF610-A1BE-4C8E-84F4-F8F502761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81064</xdr:colOff>
      <xdr:row>28</xdr:row>
      <xdr:rowOff>81064</xdr:rowOff>
    </xdr:from>
    <xdr:to>
      <xdr:col>6</xdr:col>
      <xdr:colOff>67959</xdr:colOff>
      <xdr:row>45</xdr:row>
      <xdr:rowOff>61944</xdr:rowOff>
    </xdr:to>
    <mc:AlternateContent xmlns:mc="http://schemas.openxmlformats.org/markup-compatibility/2006">
      <mc:Choice xmlns:a14="http://schemas.microsoft.com/office/drawing/2010/main" Requires="a14">
        <xdr:graphicFrame macro="">
          <xdr:nvGraphicFramePr>
            <xdr:cNvPr id="30" name="Sub-Category">
              <a:extLst>
                <a:ext uri="{FF2B5EF4-FFF2-40B4-BE49-F238E27FC236}">
                  <a16:creationId xmlns:a16="http://schemas.microsoft.com/office/drawing/2014/main" id="{1CE9C66E-FAAD-E8E5-BD3C-4DB29BE1AE63}"/>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297021" y="5377234"/>
              <a:ext cx="2418810" cy="3196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540426</xdr:colOff>
      <xdr:row>1</xdr:row>
      <xdr:rowOff>81063</xdr:rowOff>
    </xdr:from>
    <xdr:to>
      <xdr:col>9</xdr:col>
      <xdr:colOff>402576</xdr:colOff>
      <xdr:row>5</xdr:row>
      <xdr:rowOff>148616</xdr:rowOff>
    </xdr:to>
    <mc:AlternateContent xmlns:mc="http://schemas.openxmlformats.org/markup-compatibility/2006">
      <mc:Choice xmlns:am3d="http://schemas.microsoft.com/office/drawing/2017/model3d" Requires="am3d">
        <xdr:graphicFrame macro="">
          <xdr:nvGraphicFramePr>
            <xdr:cNvPr id="37" name="3D Model 36" descr="Upward Trend">
              <a:extLst>
                <a:ext uri="{FF2B5EF4-FFF2-40B4-BE49-F238E27FC236}">
                  <a16:creationId xmlns:a16="http://schemas.microsoft.com/office/drawing/2014/main" id="{13F8BFB2-DAF4-C1C0-BB46-0A00ACDD3C58}"/>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5">
                <am3d:spPr>
                  <a:xfrm>
                    <a:off x="0" y="0"/>
                    <a:ext cx="1078108" cy="824149"/>
                  </a:xfrm>
                  <a:prstGeom prst="rect">
                    <a:avLst/>
                  </a:prstGeom>
                </am3d:spPr>
                <am3d:camera>
                  <am3d:pos x="0" y="0" z="65012918"/>
                  <am3d:up dx="0" dy="36000000" dz="0"/>
                  <am3d:lookAt x="0" y="0" z="0"/>
                  <am3d:perspective fov="2700000"/>
                </am3d:camera>
                <am3d:trans>
                  <am3d:meterPerModelUnit n="101711" d="1000000"/>
                  <am3d:preTrans dx="0" dy="-16609428" dz="0"/>
                  <am3d:scale>
                    <am3d:sx n="1000000" d="1000000"/>
                    <am3d:sy n="1000000" d="1000000"/>
                    <am3d:sz n="1000000" d="1000000"/>
                  </am3d:scale>
                  <am3d:rot ax="-350332" ay="149223" az="-15252"/>
                  <am3d:postTrans dx="0" dy="0" dz="0"/>
                </am3d:trans>
                <am3d:raster rName="Office3DRenderer" rVer="16.0.8326">
                  <am3d:blip r:embed="rId6"/>
                </am3d:raster>
                <am3d:objViewport viewportSz="1241745"/>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37" name="3D Model 36" descr="Upward Trend">
              <a:extLst>
                <a:ext uri="{FF2B5EF4-FFF2-40B4-BE49-F238E27FC236}">
                  <a16:creationId xmlns:a16="http://schemas.microsoft.com/office/drawing/2014/main" id="{13F8BFB2-DAF4-C1C0-BB46-0A00ACDD3C58}"/>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6"/>
            <a:stretch>
              <a:fillRect/>
            </a:stretch>
          </xdr:blipFill>
          <xdr:spPr>
            <a:xfrm>
              <a:off x="4796277" y="270212"/>
              <a:ext cx="1078108" cy="824149"/>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819340</xdr:colOff>
      <xdr:row>22</xdr:row>
      <xdr:rowOff>140212</xdr:rowOff>
    </xdr:from>
    <xdr:to>
      <xdr:col>5</xdr:col>
      <xdr:colOff>184036</xdr:colOff>
      <xdr:row>37</xdr:row>
      <xdr:rowOff>72756</xdr:rowOff>
    </xdr:to>
    <xdr:graphicFrame macro="">
      <xdr:nvGraphicFramePr>
        <xdr:cNvPr id="5" name="Chart 4">
          <a:extLst>
            <a:ext uri="{FF2B5EF4-FFF2-40B4-BE49-F238E27FC236}">
              <a16:creationId xmlns:a16="http://schemas.microsoft.com/office/drawing/2014/main" id="{39B52D5D-9910-D728-4F0B-35DD0640F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506872</xdr:colOff>
      <xdr:row>16</xdr:row>
      <xdr:rowOff>24835</xdr:rowOff>
    </xdr:from>
    <xdr:to>
      <xdr:col>17</xdr:col>
      <xdr:colOff>583341</xdr:colOff>
      <xdr:row>30</xdr:row>
      <xdr:rowOff>142587</xdr:rowOff>
    </xdr:to>
    <xdr:graphicFrame macro="">
      <xdr:nvGraphicFramePr>
        <xdr:cNvPr id="6" name="Chart 5">
          <a:extLst>
            <a:ext uri="{FF2B5EF4-FFF2-40B4-BE49-F238E27FC236}">
              <a16:creationId xmlns:a16="http://schemas.microsoft.com/office/drawing/2014/main" id="{B275C45E-A275-A766-8669-447A6E585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340297</xdr:colOff>
      <xdr:row>10</xdr:row>
      <xdr:rowOff>133247</xdr:rowOff>
    </xdr:from>
    <xdr:to>
      <xdr:col>8</xdr:col>
      <xdr:colOff>386195</xdr:colOff>
      <xdr:row>24</xdr:row>
      <xdr:rowOff>129340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59B25FBE-D6D4-72C0-83E7-BB2D070CE13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211445" y="2007017"/>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370459</xdr:colOff>
      <xdr:row>26</xdr:row>
      <xdr:rowOff>102259</xdr:rowOff>
    </xdr:from>
    <xdr:to>
      <xdr:col>11</xdr:col>
      <xdr:colOff>566208</xdr:colOff>
      <xdr:row>41</xdr:row>
      <xdr:rowOff>36972</xdr:rowOff>
    </xdr:to>
    <xdr:graphicFrame macro="">
      <xdr:nvGraphicFramePr>
        <xdr:cNvPr id="2" name="Chart 1">
          <a:extLst>
            <a:ext uri="{FF2B5EF4-FFF2-40B4-BE49-F238E27FC236}">
              <a16:creationId xmlns:a16="http://schemas.microsoft.com/office/drawing/2014/main" id="{362CCA18-A2FF-362F-31D7-87C4B9EAA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SOSA" refreshedDate="46077.509299421297" createdVersion="8" refreshedVersion="8" minRefreshableVersion="3" recordCount="700" xr:uid="{A138F4CE-38DF-436F-ADE7-146D684CCE55}">
  <cacheSource type="worksheet">
    <worksheetSource ref="A1:T701" sheet="Database"/>
  </cacheSource>
  <cacheFields count="20">
    <cacheField name="Row ID" numFmtId="0">
      <sharedItems containsString="0" containsBlank="1" containsNumber="1" containsInteger="1" minValue="1" maxValue="528"/>
    </cacheField>
    <cacheField name="Order Date" numFmtId="165">
      <sharedItems containsNonDate="0" containsDate="1" containsString="0" containsBlank="1" minDate="2011-02-13T00:00:00" maxDate="2014-12-30T00:00:00" count="210">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m/>
      </sharedItems>
    </cacheField>
    <cacheField name="Year" numFmtId="0">
      <sharedItems containsBlank="1" containsMixedTypes="1" containsNumber="1" containsInteger="1" minValue="2011" maxValue="2014" count="9">
        <n v="2013"/>
        <n v="2012"/>
        <n v="2011"/>
        <n v="2014"/>
        <m/>
        <s v="2013" u="1"/>
        <s v="2012" u="1"/>
        <s v="2011" u="1"/>
        <s v="2014" u="1"/>
      </sharedItems>
    </cacheField>
    <cacheField name="Month" numFmtId="164">
      <sharedItems containsBlank="1" count="13">
        <s v="Nov"/>
        <s v="Jun"/>
        <s v="Oct"/>
        <s v="Apr"/>
        <s v="Dec"/>
        <s v="May"/>
        <s v="Aug"/>
        <s v="Jul"/>
        <s v="Sep"/>
        <s v="Jan"/>
        <s v="Mar"/>
        <s v="Feb"/>
        <m/>
      </sharedItems>
    </cacheField>
    <cacheField name="Ship Date" numFmtId="165">
      <sharedItems containsNonDate="0" containsDate="1" containsString="0" containsBlank="1" minDate="2011-02-19T00:00:00" maxDate="2015-01-04T00:00:00" count="217">
        <d v="2013-11-12T00:00:00"/>
        <d v="2013-06-17T00:00:00"/>
        <d v="2012-10-18T00:00:00"/>
        <d v="2011-06-14T00:00:00"/>
        <d v="2014-04-21T00:00:00"/>
        <d v="2013-12-11T00:00:00"/>
        <d v="2012-11-26T00:00:00"/>
        <d v="2011-11-18T00:00:00"/>
        <d v="2011-05-15T00:00:00"/>
        <d v="2011-09-01T00:00:00"/>
        <d v="2013-12-14T00:00:00"/>
        <d v="2014-07-19T00:00:00"/>
        <d v="2012-09-30T00:00:00"/>
        <d v="2013-01-20T00:00:00"/>
        <d v="2012-09-21T00:00:00"/>
        <d v="2014-10-24T00:00:00"/>
        <d v="2012-12-31T00:00:00"/>
        <d v="2014-09-16T00:00:00"/>
        <d v="2013-07-23T00:00:00"/>
        <d v="2014-09-24T00:00:00"/>
        <d v="2013-03-14T00:00:00"/>
        <d v="2011-10-25T00:00:00"/>
        <d v="2013-06-26T00:00:00"/>
        <d v="2012-04-22T00:00:00"/>
        <d v="2013-12-18T00:00:00"/>
        <d v="2013-06-19T00:00:00"/>
        <d v="2012-11-30T00:00:00"/>
        <d v="2012-05-05T00:00:00"/>
        <d v="2011-12-10T00:00:00"/>
        <d v="2013-06-07T00:00:00"/>
        <d v="2013-09-24T00:00:00"/>
        <d v="2014-09-18T00:00:00"/>
        <d v="2012-05-02T00:00:00"/>
        <d v="2014-12-12T00:00:00"/>
        <d v="2011-12-01T00:00:00"/>
        <d v="2013-06-16T00:00:00"/>
        <d v="2011-10-16T00:00:00"/>
        <d v="2012-09-08T00:00:00"/>
        <d v="2014-11-17T00:00:00"/>
        <d v="2014-05-31T00:00:00"/>
        <d v="2014-11-03T00:00:00"/>
        <d v="2013-04-11T00:00:00"/>
        <d v="2013-09-23T00:00:00"/>
        <d v="2012-02-05T00:00:00"/>
        <d v="2014-11-13T00:00:00"/>
        <d v="2014-11-12T00:00:00"/>
        <d v="2014-06-21T00:00:00"/>
        <d v="2013-09-12T00:00:00"/>
        <d v="2013-09-03T00:00:00"/>
        <d v="2013-12-05T00:00:00"/>
        <d v="2012-11-17T00:00:00"/>
        <d v="2014-11-29T00:00:00"/>
        <d v="2012-10-20T00:00:00"/>
        <d v="2014-12-31T00:00:00"/>
        <d v="2013-11-11T00:00:00"/>
        <d v="2011-08-27T00:00:00"/>
        <d v="2012-03-06T00:00:00"/>
        <d v="2012-04-10T00:00:00"/>
        <d v="2011-12-28T00:00:00"/>
        <d v="2011-09-25T00:00:00"/>
        <d v="2014-02-06T00:00:00"/>
        <d v="2013-10-20T00:00:00"/>
        <d v="2013-09-08T00:00:00"/>
        <d v="2014-12-28T00:00:00"/>
        <d v="2012-09-12T00:00:00"/>
        <d v="2011-10-28T00:00:00"/>
        <d v="2013-12-10T00:00:00"/>
        <d v="2013-03-17T00:00:00"/>
        <d v="2012-06-02T00:00:00"/>
        <d v="2012-06-03T00:00:00"/>
        <d v="2011-03-06T00:00:00"/>
        <d v="2013-11-25T00:00:00"/>
        <d v="2013-05-13T00:00:00"/>
        <d v="2013-11-21T00:00:00"/>
        <d v="2011-09-12T00:00:00"/>
        <d v="2011-08-09T00:00:00"/>
        <d v="2011-09-19T00:00:00"/>
        <d v="2014-04-26T00:00:00"/>
        <d v="2012-11-23T00:00:00"/>
        <d v="2012-12-19T00:00:00"/>
        <d v="2011-12-09T00:00:00"/>
        <d v="2011-11-24T00:00:00"/>
        <d v="2013-12-03T00:00:00"/>
        <d v="2011-08-30T00:00:00"/>
        <d v="2012-10-14T00:00:00"/>
        <d v="2012-11-06T00:00:00"/>
        <d v="2011-03-25T00:00:00"/>
        <d v="2014-11-14T00:00:00"/>
        <d v="2014-07-14T00:00:00"/>
        <d v="2014-06-30T00:00:00"/>
        <d v="2011-08-05T00:00:00"/>
        <d v="2014-12-22T00:00:00"/>
        <d v="2014-06-08T00:00:00"/>
        <d v="2014-12-15T00:00:00"/>
        <d v="2014-12-08T00:00:00"/>
        <d v="2012-02-13T00:00:00"/>
        <d v="2012-01-09T00:00:00"/>
        <d v="2013-11-02T00:00:00"/>
        <d v="2012-12-27T00:00:00"/>
        <d v="2012-08-16T00:00:00"/>
        <d v="2012-03-04T00:00:00"/>
        <d v="2011-09-17T00:00:00"/>
        <d v="2014-04-13T00:00:00"/>
        <d v="2013-06-10T00:00:00"/>
        <d v="2011-06-06T00:00:00"/>
        <d v="2013-12-16T00:00:00"/>
        <d v="2013-09-18T00:00:00"/>
        <d v="2012-12-04T00:00:00"/>
        <d v="2014-12-04T00:00:00"/>
        <d v="2014-06-13T00:00:00"/>
        <d v="2011-09-21T00:00:00"/>
        <d v="2013-06-14T00:00:00"/>
        <d v="2012-11-15T00:00:00"/>
        <d v="2013-01-28T00:00:00"/>
        <d v="2014-12-14T00:00:00"/>
        <d v="2015-01-03T00:00:00"/>
        <d v="2012-07-31T00:00:00"/>
        <d v="2014-10-18T00:00:00"/>
        <d v="2012-09-28T00:00:00"/>
        <d v="2012-10-02T00:00:00"/>
        <d v="2013-12-21T00:00:00"/>
        <d v="2013-11-04T00:00:00"/>
        <d v="2014-11-24T00:00:00"/>
        <d v="2012-05-09T00:00:00"/>
        <d v="2012-01-04T00:00:00"/>
        <d v="2014-04-18T00:00:00"/>
        <d v="2013-09-15T00:00:00"/>
        <d v="2011-10-03T00:00:00"/>
        <d v="2011-08-16T00:00:00"/>
        <d v="2011-12-30T00:00:00"/>
        <d v="2011-11-09T00:00:00"/>
        <d v="2011-09-24T00:00:00"/>
        <d v="2013-04-28T00:00:00"/>
        <d v="2014-11-06T00:00:00"/>
        <d v="2013-09-02T00:00:00"/>
        <d v="2013-04-30T00:00:00"/>
        <d v="2012-09-04T00:00:00"/>
        <d v="2011-07-17T00:00:00"/>
        <d v="2012-06-26T00:00:00"/>
        <d v="2011-04-17T00:00:00"/>
        <d v="2012-12-24T00:00:00"/>
        <d v="2014-06-20T00:00:00"/>
        <d v="2014-07-13T00:00:00"/>
        <d v="2013-09-04T00:00:00"/>
        <d v="2013-04-14T00:00:00"/>
        <d v="2013-04-29T00:00:00"/>
        <d v="2014-03-12T00:00:00"/>
        <d v="2014-10-02T00:00:00"/>
        <d v="2011-09-29T00:00:00"/>
        <d v="2013-10-22T00:00:00"/>
        <d v="2014-06-05T00:00:00"/>
        <d v="2011-07-27T00:00:00"/>
        <d v="2013-10-02T00:00:00"/>
        <d v="2014-09-02T00:00:00"/>
        <d v="2013-10-30T00:00:00"/>
        <d v="2012-06-29T00:00:00"/>
        <d v="2012-12-02T00:00:00"/>
        <d v="2012-12-07T00:00:00"/>
        <d v="2011-11-26T00:00:00"/>
        <d v="2014-12-16T00:00:00"/>
        <d v="2011-09-23T00:00:00"/>
        <d v="2011-06-10T00:00:00"/>
        <d v="2014-07-06T00:00:00"/>
        <d v="2014-10-20T00:00:00"/>
        <d v="2012-11-04T00:00:00"/>
        <d v="2013-09-11T00:00:00"/>
        <d v="2011-12-26T00:00:00"/>
        <d v="2011-04-20T00:00:00"/>
        <d v="2014-12-30T00:00:00"/>
        <d v="2014-12-13T00:00:00"/>
        <d v="2014-11-08T00:00:00"/>
        <d v="2014-06-29T00:00:00"/>
        <d v="2013-04-19T00:00:00"/>
        <d v="2014-11-11T00:00:00"/>
        <d v="2014-03-10T00:00:00"/>
        <d v="2011-06-25T00:00:00"/>
        <d v="2014-08-24T00:00:00"/>
        <d v="2014-11-27T00:00:00"/>
        <d v="2011-09-13T00:00:00"/>
        <d v="2014-10-09T00:00:00"/>
        <d v="2013-04-22T00:00:00"/>
        <d v="2013-06-08T00:00:00"/>
        <d v="2011-12-25T00:00:00"/>
        <d v="2013-06-15T00:00:00"/>
        <d v="2014-09-20T00:00:00"/>
        <d v="2014-01-24T00:00:00"/>
        <d v="2014-03-26T00:00:00"/>
        <d v="2013-04-04T00:00:00"/>
        <d v="2014-10-25T00:00:00"/>
        <d v="2011-02-19T00:00:00"/>
        <d v="2012-12-22T00:00:00"/>
        <d v="2012-01-24T00:00:00"/>
        <d v="2014-04-05T00:00:00"/>
        <d v="2011-11-11T00:00:00"/>
        <d v="2013-07-20T00:00:00"/>
        <d v="2013-11-03T00:00:00"/>
        <d v="2013-07-03T00:00:00"/>
        <d v="2011-10-10T00:00:00"/>
        <d v="2014-06-14T00:00:00"/>
        <d v="2011-10-31T00:00:00"/>
        <d v="2011-06-13T00:00:00"/>
        <d v="2013-05-15T00:00:00"/>
        <d v="2013-03-22T00:00:00"/>
        <d v="2013-08-01T00:00:00"/>
        <d v="2013-06-05T00:00:00"/>
        <d v="2014-11-16T00:00:00"/>
        <d v="2012-03-22T00:00:00"/>
        <d v="2014-11-28T00:00:00"/>
        <d v="2013-10-24T00:00:00"/>
        <d v="2014-12-26T00:00:00"/>
        <d v="2014-01-28T00:00:00"/>
        <d v="2012-03-26T00:00:00"/>
        <d v="2014-01-26T00:00:00"/>
        <d v="2013-05-24T00:00:00"/>
        <d v="2013-01-02T00:00:00"/>
        <d v="2014-10-27T00:00:00"/>
        <m/>
      </sharedItems>
    </cacheField>
    <cacheField name="Delivery Time" numFmtId="0">
      <sharedItems containsString="0" containsBlank="1" containsNumber="1" containsInteger="1" minValue="0" maxValue="7" count="9">
        <n v="3"/>
        <n v="4"/>
        <n v="7"/>
        <n v="5"/>
        <n v="2"/>
        <n v="6"/>
        <n v="1"/>
        <n v="0"/>
        <m/>
      </sharedItems>
    </cacheField>
    <cacheField name="Ship Mode" numFmtId="0">
      <sharedItems containsBlank="1" count="5">
        <s v="Second Class"/>
        <s v="Standard Class"/>
        <s v="First Class"/>
        <s v="Same Day"/>
        <m/>
      </sharedItems>
    </cacheField>
    <cacheField name="Customer Name" numFmtId="0">
      <sharedItems containsBlank="1" count="208">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ount="123">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m/>
      </sharedItems>
    </cacheField>
    <cacheField name="State" numFmtId="0">
      <sharedItems containsBlank="1" count="3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m/>
      </sharedItems>
    </cacheField>
    <cacheField name="Region" numFmtId="0">
      <sharedItems containsBlank="1" count="5">
        <s v="South"/>
        <s v="West"/>
        <s v="Central"/>
        <s v="East"/>
        <m/>
      </sharedItems>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ount="46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m/>
      </sharedItems>
    </cacheField>
    <cacheField name="Sales" numFmtId="2">
      <sharedItems containsString="0" containsBlank="1" containsNumber="1" minValue="1.248" maxValue="8159.9520000000002" count="500">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m/>
      </sharedItems>
    </cacheField>
    <cacheField name="Quantity" numFmtId="0">
      <sharedItems containsString="0" containsBlank="1" containsNumber="1" containsInteger="1" minValue="1" maxValue="14" count="15">
        <n v="2"/>
        <n v="3"/>
        <n v="5"/>
        <n v="7"/>
        <n v="4"/>
        <n v="6"/>
        <n v="9"/>
        <n v="1"/>
        <n v="8"/>
        <n v="14"/>
        <n v="11"/>
        <n v="13"/>
        <n v="10"/>
        <n v="12"/>
        <m/>
      </sharedItems>
    </cacheField>
    <cacheField name="Discount" numFmtId="10">
      <sharedItems containsString="0" containsBlank="1" containsNumber="1" minValue="0" maxValue="0.8" count="13">
        <n v="0"/>
        <n v="0.45"/>
        <n v="0.2"/>
        <n v="0.8"/>
        <n v="0.3"/>
        <n v="0.5"/>
        <n v="0.7"/>
        <n v="0.6"/>
        <n v="0.32"/>
        <n v="0.1"/>
        <n v="0.4"/>
        <n v="0.15"/>
        <m/>
      </sharedItems>
    </cacheField>
    <cacheField name="Profit" numFmtId="2">
      <sharedItems containsString="0" containsBlank="1" containsNumber="1" minValue="-1665.0522000000001" maxValue="3177.4749999999999" count="516">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m/>
      </sharedItems>
    </cacheField>
  </cacheFields>
  <extLst>
    <ext xmlns:x14="http://schemas.microsoft.com/office/spreadsheetml/2009/9/main" uri="{725AE2AE-9491-48be-B2B4-4EB974FC3084}">
      <x14:pivotCacheDefinition pivotCacheId="966163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1"/>
    <x v="0"/>
    <x v="0"/>
    <x v="0"/>
    <x v="0"/>
    <x v="0"/>
    <x v="0"/>
    <x v="0"/>
    <x v="0"/>
    <x v="0"/>
    <x v="0"/>
    <x v="0"/>
    <x v="0"/>
    <x v="0"/>
    <x v="0"/>
    <x v="0"/>
    <x v="0"/>
    <x v="0"/>
    <x v="0"/>
    <x v="0"/>
  </r>
  <r>
    <n v="2"/>
    <x v="0"/>
    <x v="0"/>
    <x v="0"/>
    <x v="0"/>
    <x v="0"/>
    <x v="0"/>
    <x v="0"/>
    <x v="0"/>
    <x v="0"/>
    <x v="0"/>
    <x v="0"/>
    <x v="0"/>
    <x v="0"/>
    <x v="1"/>
    <x v="1"/>
    <x v="1"/>
    <x v="1"/>
    <x v="0"/>
    <x v="1"/>
  </r>
  <r>
    <n v="3"/>
    <x v="1"/>
    <x v="0"/>
    <x v="1"/>
    <x v="1"/>
    <x v="1"/>
    <x v="0"/>
    <x v="1"/>
    <x v="1"/>
    <x v="0"/>
    <x v="1"/>
    <x v="1"/>
    <x v="1"/>
    <x v="1"/>
    <x v="2"/>
    <x v="2"/>
    <x v="2"/>
    <x v="0"/>
    <x v="0"/>
    <x v="2"/>
  </r>
  <r>
    <n v="4"/>
    <x v="2"/>
    <x v="1"/>
    <x v="2"/>
    <x v="2"/>
    <x v="2"/>
    <x v="1"/>
    <x v="2"/>
    <x v="0"/>
    <x v="0"/>
    <x v="2"/>
    <x v="2"/>
    <x v="0"/>
    <x v="0"/>
    <x v="3"/>
    <x v="3"/>
    <x v="3"/>
    <x v="2"/>
    <x v="1"/>
    <x v="3"/>
  </r>
  <r>
    <n v="5"/>
    <x v="2"/>
    <x v="1"/>
    <x v="2"/>
    <x v="2"/>
    <x v="2"/>
    <x v="1"/>
    <x v="2"/>
    <x v="0"/>
    <x v="0"/>
    <x v="2"/>
    <x v="2"/>
    <x v="0"/>
    <x v="1"/>
    <x v="4"/>
    <x v="4"/>
    <x v="4"/>
    <x v="0"/>
    <x v="2"/>
    <x v="4"/>
  </r>
  <r>
    <n v="6"/>
    <x v="3"/>
    <x v="2"/>
    <x v="1"/>
    <x v="3"/>
    <x v="3"/>
    <x v="1"/>
    <x v="3"/>
    <x v="0"/>
    <x v="0"/>
    <x v="1"/>
    <x v="1"/>
    <x v="1"/>
    <x v="0"/>
    <x v="5"/>
    <x v="5"/>
    <x v="5"/>
    <x v="3"/>
    <x v="0"/>
    <x v="5"/>
  </r>
  <r>
    <n v="7"/>
    <x v="3"/>
    <x v="2"/>
    <x v="1"/>
    <x v="3"/>
    <x v="3"/>
    <x v="1"/>
    <x v="3"/>
    <x v="0"/>
    <x v="0"/>
    <x v="1"/>
    <x v="1"/>
    <x v="1"/>
    <x v="1"/>
    <x v="6"/>
    <x v="6"/>
    <x v="6"/>
    <x v="4"/>
    <x v="0"/>
    <x v="6"/>
  </r>
  <r>
    <n v="8"/>
    <x v="3"/>
    <x v="2"/>
    <x v="1"/>
    <x v="3"/>
    <x v="3"/>
    <x v="1"/>
    <x v="3"/>
    <x v="0"/>
    <x v="0"/>
    <x v="1"/>
    <x v="1"/>
    <x v="1"/>
    <x v="2"/>
    <x v="7"/>
    <x v="7"/>
    <x v="7"/>
    <x v="5"/>
    <x v="2"/>
    <x v="7"/>
  </r>
  <r>
    <n v="9"/>
    <x v="3"/>
    <x v="2"/>
    <x v="1"/>
    <x v="3"/>
    <x v="3"/>
    <x v="1"/>
    <x v="3"/>
    <x v="0"/>
    <x v="0"/>
    <x v="1"/>
    <x v="1"/>
    <x v="1"/>
    <x v="1"/>
    <x v="8"/>
    <x v="8"/>
    <x v="8"/>
    <x v="1"/>
    <x v="2"/>
    <x v="8"/>
  </r>
  <r>
    <n v="10"/>
    <x v="3"/>
    <x v="2"/>
    <x v="1"/>
    <x v="3"/>
    <x v="3"/>
    <x v="1"/>
    <x v="3"/>
    <x v="0"/>
    <x v="0"/>
    <x v="1"/>
    <x v="1"/>
    <x v="1"/>
    <x v="1"/>
    <x v="9"/>
    <x v="9"/>
    <x v="9"/>
    <x v="2"/>
    <x v="0"/>
    <x v="9"/>
  </r>
  <r>
    <n v="11"/>
    <x v="3"/>
    <x v="2"/>
    <x v="1"/>
    <x v="3"/>
    <x v="3"/>
    <x v="1"/>
    <x v="3"/>
    <x v="0"/>
    <x v="0"/>
    <x v="1"/>
    <x v="1"/>
    <x v="1"/>
    <x v="0"/>
    <x v="3"/>
    <x v="10"/>
    <x v="10"/>
    <x v="6"/>
    <x v="2"/>
    <x v="10"/>
  </r>
  <r>
    <n v="12"/>
    <x v="3"/>
    <x v="2"/>
    <x v="1"/>
    <x v="3"/>
    <x v="3"/>
    <x v="1"/>
    <x v="3"/>
    <x v="0"/>
    <x v="0"/>
    <x v="1"/>
    <x v="1"/>
    <x v="1"/>
    <x v="2"/>
    <x v="7"/>
    <x v="11"/>
    <x v="11"/>
    <x v="4"/>
    <x v="2"/>
    <x v="11"/>
  </r>
  <r>
    <n v="13"/>
    <x v="4"/>
    <x v="3"/>
    <x v="3"/>
    <x v="4"/>
    <x v="3"/>
    <x v="1"/>
    <x v="4"/>
    <x v="0"/>
    <x v="0"/>
    <x v="3"/>
    <x v="3"/>
    <x v="0"/>
    <x v="1"/>
    <x v="10"/>
    <x v="12"/>
    <x v="12"/>
    <x v="1"/>
    <x v="2"/>
    <x v="12"/>
  </r>
  <r>
    <n v="14"/>
    <x v="5"/>
    <x v="0"/>
    <x v="4"/>
    <x v="5"/>
    <x v="3"/>
    <x v="1"/>
    <x v="5"/>
    <x v="0"/>
    <x v="0"/>
    <x v="4"/>
    <x v="4"/>
    <x v="1"/>
    <x v="1"/>
    <x v="8"/>
    <x v="13"/>
    <x v="13"/>
    <x v="1"/>
    <x v="2"/>
    <x v="13"/>
  </r>
  <r>
    <n v="15"/>
    <x v="6"/>
    <x v="1"/>
    <x v="0"/>
    <x v="6"/>
    <x v="1"/>
    <x v="1"/>
    <x v="6"/>
    <x v="2"/>
    <x v="0"/>
    <x v="5"/>
    <x v="5"/>
    <x v="2"/>
    <x v="1"/>
    <x v="9"/>
    <x v="14"/>
    <x v="14"/>
    <x v="2"/>
    <x v="3"/>
    <x v="14"/>
  </r>
  <r>
    <n v="16"/>
    <x v="6"/>
    <x v="1"/>
    <x v="0"/>
    <x v="6"/>
    <x v="1"/>
    <x v="1"/>
    <x v="6"/>
    <x v="2"/>
    <x v="0"/>
    <x v="5"/>
    <x v="5"/>
    <x v="2"/>
    <x v="1"/>
    <x v="8"/>
    <x v="15"/>
    <x v="15"/>
    <x v="1"/>
    <x v="3"/>
    <x v="15"/>
  </r>
  <r>
    <n v="17"/>
    <x v="7"/>
    <x v="2"/>
    <x v="0"/>
    <x v="7"/>
    <x v="2"/>
    <x v="1"/>
    <x v="7"/>
    <x v="0"/>
    <x v="0"/>
    <x v="6"/>
    <x v="6"/>
    <x v="2"/>
    <x v="1"/>
    <x v="4"/>
    <x v="16"/>
    <x v="16"/>
    <x v="5"/>
    <x v="0"/>
    <x v="16"/>
  </r>
  <r>
    <n v="18"/>
    <x v="8"/>
    <x v="2"/>
    <x v="5"/>
    <x v="8"/>
    <x v="4"/>
    <x v="0"/>
    <x v="8"/>
    <x v="0"/>
    <x v="0"/>
    <x v="7"/>
    <x v="7"/>
    <x v="1"/>
    <x v="1"/>
    <x v="4"/>
    <x v="17"/>
    <x v="17"/>
    <x v="0"/>
    <x v="0"/>
    <x v="17"/>
  </r>
  <r>
    <n v="19"/>
    <x v="9"/>
    <x v="2"/>
    <x v="6"/>
    <x v="9"/>
    <x v="3"/>
    <x v="0"/>
    <x v="9"/>
    <x v="0"/>
    <x v="0"/>
    <x v="8"/>
    <x v="1"/>
    <x v="1"/>
    <x v="1"/>
    <x v="6"/>
    <x v="18"/>
    <x v="18"/>
    <x v="0"/>
    <x v="0"/>
    <x v="18"/>
  </r>
  <r>
    <n v="20"/>
    <x v="9"/>
    <x v="2"/>
    <x v="6"/>
    <x v="9"/>
    <x v="3"/>
    <x v="0"/>
    <x v="9"/>
    <x v="0"/>
    <x v="0"/>
    <x v="8"/>
    <x v="1"/>
    <x v="1"/>
    <x v="2"/>
    <x v="7"/>
    <x v="19"/>
    <x v="19"/>
    <x v="1"/>
    <x v="2"/>
    <x v="19"/>
  </r>
  <r>
    <n v="21"/>
    <x v="9"/>
    <x v="2"/>
    <x v="6"/>
    <x v="9"/>
    <x v="3"/>
    <x v="0"/>
    <x v="9"/>
    <x v="0"/>
    <x v="0"/>
    <x v="8"/>
    <x v="1"/>
    <x v="1"/>
    <x v="1"/>
    <x v="8"/>
    <x v="20"/>
    <x v="20"/>
    <x v="4"/>
    <x v="2"/>
    <x v="20"/>
  </r>
  <r>
    <n v="22"/>
    <x v="10"/>
    <x v="0"/>
    <x v="4"/>
    <x v="10"/>
    <x v="1"/>
    <x v="1"/>
    <x v="10"/>
    <x v="1"/>
    <x v="0"/>
    <x v="9"/>
    <x v="8"/>
    <x v="2"/>
    <x v="1"/>
    <x v="6"/>
    <x v="21"/>
    <x v="21"/>
    <x v="3"/>
    <x v="0"/>
    <x v="21"/>
  </r>
  <r>
    <n v="23"/>
    <x v="10"/>
    <x v="0"/>
    <x v="4"/>
    <x v="10"/>
    <x v="1"/>
    <x v="1"/>
    <x v="10"/>
    <x v="1"/>
    <x v="0"/>
    <x v="9"/>
    <x v="8"/>
    <x v="2"/>
    <x v="1"/>
    <x v="9"/>
    <x v="22"/>
    <x v="22"/>
    <x v="3"/>
    <x v="0"/>
    <x v="22"/>
  </r>
  <r>
    <n v="24"/>
    <x v="11"/>
    <x v="3"/>
    <x v="7"/>
    <x v="11"/>
    <x v="4"/>
    <x v="0"/>
    <x v="11"/>
    <x v="0"/>
    <x v="0"/>
    <x v="10"/>
    <x v="9"/>
    <x v="3"/>
    <x v="0"/>
    <x v="1"/>
    <x v="23"/>
    <x v="23"/>
    <x v="0"/>
    <x v="4"/>
    <x v="23"/>
  </r>
  <r>
    <n v="25"/>
    <x v="12"/>
    <x v="1"/>
    <x v="8"/>
    <x v="12"/>
    <x v="3"/>
    <x v="1"/>
    <x v="12"/>
    <x v="0"/>
    <x v="0"/>
    <x v="11"/>
    <x v="7"/>
    <x v="1"/>
    <x v="0"/>
    <x v="3"/>
    <x v="3"/>
    <x v="24"/>
    <x v="1"/>
    <x v="0"/>
    <x v="24"/>
  </r>
  <r>
    <n v="26"/>
    <x v="13"/>
    <x v="0"/>
    <x v="9"/>
    <x v="13"/>
    <x v="1"/>
    <x v="0"/>
    <x v="13"/>
    <x v="0"/>
    <x v="0"/>
    <x v="1"/>
    <x v="1"/>
    <x v="1"/>
    <x v="1"/>
    <x v="8"/>
    <x v="24"/>
    <x v="25"/>
    <x v="0"/>
    <x v="2"/>
    <x v="25"/>
  </r>
  <r>
    <n v="27"/>
    <x v="13"/>
    <x v="0"/>
    <x v="9"/>
    <x v="13"/>
    <x v="1"/>
    <x v="0"/>
    <x v="13"/>
    <x v="0"/>
    <x v="0"/>
    <x v="1"/>
    <x v="1"/>
    <x v="1"/>
    <x v="2"/>
    <x v="11"/>
    <x v="25"/>
    <x v="26"/>
    <x v="1"/>
    <x v="0"/>
    <x v="26"/>
  </r>
  <r>
    <n v="28"/>
    <x v="14"/>
    <x v="1"/>
    <x v="8"/>
    <x v="14"/>
    <x v="1"/>
    <x v="1"/>
    <x v="14"/>
    <x v="0"/>
    <x v="0"/>
    <x v="10"/>
    <x v="9"/>
    <x v="3"/>
    <x v="0"/>
    <x v="0"/>
    <x v="26"/>
    <x v="27"/>
    <x v="3"/>
    <x v="5"/>
    <x v="27"/>
  </r>
  <r>
    <n v="29"/>
    <x v="14"/>
    <x v="1"/>
    <x v="8"/>
    <x v="14"/>
    <x v="1"/>
    <x v="1"/>
    <x v="14"/>
    <x v="0"/>
    <x v="0"/>
    <x v="10"/>
    <x v="9"/>
    <x v="3"/>
    <x v="1"/>
    <x v="8"/>
    <x v="27"/>
    <x v="28"/>
    <x v="0"/>
    <x v="6"/>
    <x v="28"/>
  </r>
  <r>
    <n v="30"/>
    <x v="14"/>
    <x v="1"/>
    <x v="8"/>
    <x v="14"/>
    <x v="1"/>
    <x v="1"/>
    <x v="14"/>
    <x v="0"/>
    <x v="0"/>
    <x v="10"/>
    <x v="9"/>
    <x v="3"/>
    <x v="0"/>
    <x v="5"/>
    <x v="28"/>
    <x v="29"/>
    <x v="1"/>
    <x v="2"/>
    <x v="29"/>
  </r>
  <r>
    <n v="31"/>
    <x v="14"/>
    <x v="1"/>
    <x v="8"/>
    <x v="14"/>
    <x v="1"/>
    <x v="1"/>
    <x v="14"/>
    <x v="0"/>
    <x v="0"/>
    <x v="10"/>
    <x v="9"/>
    <x v="3"/>
    <x v="1"/>
    <x v="12"/>
    <x v="29"/>
    <x v="30"/>
    <x v="0"/>
    <x v="2"/>
    <x v="30"/>
  </r>
  <r>
    <n v="32"/>
    <x v="14"/>
    <x v="1"/>
    <x v="8"/>
    <x v="14"/>
    <x v="1"/>
    <x v="1"/>
    <x v="14"/>
    <x v="0"/>
    <x v="0"/>
    <x v="10"/>
    <x v="9"/>
    <x v="3"/>
    <x v="1"/>
    <x v="6"/>
    <x v="30"/>
    <x v="31"/>
    <x v="5"/>
    <x v="2"/>
    <x v="31"/>
  </r>
  <r>
    <n v="33"/>
    <x v="14"/>
    <x v="1"/>
    <x v="8"/>
    <x v="14"/>
    <x v="1"/>
    <x v="1"/>
    <x v="14"/>
    <x v="0"/>
    <x v="0"/>
    <x v="10"/>
    <x v="9"/>
    <x v="3"/>
    <x v="1"/>
    <x v="8"/>
    <x v="31"/>
    <x v="32"/>
    <x v="5"/>
    <x v="6"/>
    <x v="32"/>
  </r>
  <r>
    <n v="34"/>
    <x v="14"/>
    <x v="1"/>
    <x v="8"/>
    <x v="14"/>
    <x v="1"/>
    <x v="1"/>
    <x v="14"/>
    <x v="0"/>
    <x v="0"/>
    <x v="10"/>
    <x v="9"/>
    <x v="3"/>
    <x v="1"/>
    <x v="6"/>
    <x v="32"/>
    <x v="33"/>
    <x v="0"/>
    <x v="2"/>
    <x v="33"/>
  </r>
  <r>
    <n v="35"/>
    <x v="15"/>
    <x v="3"/>
    <x v="2"/>
    <x v="15"/>
    <x v="1"/>
    <x v="0"/>
    <x v="15"/>
    <x v="2"/>
    <x v="0"/>
    <x v="12"/>
    <x v="5"/>
    <x v="2"/>
    <x v="1"/>
    <x v="10"/>
    <x v="33"/>
    <x v="34"/>
    <x v="1"/>
    <x v="2"/>
    <x v="34"/>
  </r>
  <r>
    <n v="36"/>
    <x v="16"/>
    <x v="0"/>
    <x v="4"/>
    <x v="5"/>
    <x v="4"/>
    <x v="2"/>
    <x v="16"/>
    <x v="1"/>
    <x v="0"/>
    <x v="13"/>
    <x v="5"/>
    <x v="2"/>
    <x v="2"/>
    <x v="7"/>
    <x v="34"/>
    <x v="35"/>
    <x v="3"/>
    <x v="2"/>
    <x v="35"/>
  </r>
  <r>
    <n v="37"/>
    <x v="16"/>
    <x v="0"/>
    <x v="4"/>
    <x v="5"/>
    <x v="4"/>
    <x v="2"/>
    <x v="16"/>
    <x v="1"/>
    <x v="0"/>
    <x v="13"/>
    <x v="5"/>
    <x v="2"/>
    <x v="0"/>
    <x v="5"/>
    <x v="35"/>
    <x v="36"/>
    <x v="2"/>
    <x v="7"/>
    <x v="36"/>
  </r>
  <r>
    <n v="38"/>
    <x v="17"/>
    <x v="1"/>
    <x v="4"/>
    <x v="16"/>
    <x v="1"/>
    <x v="1"/>
    <x v="17"/>
    <x v="2"/>
    <x v="0"/>
    <x v="12"/>
    <x v="5"/>
    <x v="2"/>
    <x v="1"/>
    <x v="12"/>
    <x v="36"/>
    <x v="37"/>
    <x v="6"/>
    <x v="2"/>
    <x v="37"/>
  </r>
  <r>
    <n v="39"/>
    <x v="17"/>
    <x v="1"/>
    <x v="4"/>
    <x v="16"/>
    <x v="1"/>
    <x v="1"/>
    <x v="17"/>
    <x v="2"/>
    <x v="0"/>
    <x v="12"/>
    <x v="5"/>
    <x v="2"/>
    <x v="0"/>
    <x v="0"/>
    <x v="37"/>
    <x v="38"/>
    <x v="1"/>
    <x v="8"/>
    <x v="38"/>
  </r>
  <r>
    <n v="40"/>
    <x v="17"/>
    <x v="1"/>
    <x v="4"/>
    <x v="16"/>
    <x v="1"/>
    <x v="1"/>
    <x v="17"/>
    <x v="2"/>
    <x v="0"/>
    <x v="12"/>
    <x v="5"/>
    <x v="2"/>
    <x v="0"/>
    <x v="1"/>
    <x v="38"/>
    <x v="39"/>
    <x v="1"/>
    <x v="4"/>
    <x v="39"/>
  </r>
  <r>
    <n v="41"/>
    <x v="17"/>
    <x v="1"/>
    <x v="4"/>
    <x v="16"/>
    <x v="1"/>
    <x v="1"/>
    <x v="17"/>
    <x v="2"/>
    <x v="0"/>
    <x v="12"/>
    <x v="5"/>
    <x v="2"/>
    <x v="2"/>
    <x v="7"/>
    <x v="39"/>
    <x v="40"/>
    <x v="4"/>
    <x v="2"/>
    <x v="40"/>
  </r>
  <r>
    <n v="42"/>
    <x v="18"/>
    <x v="3"/>
    <x v="8"/>
    <x v="17"/>
    <x v="3"/>
    <x v="1"/>
    <x v="18"/>
    <x v="1"/>
    <x v="0"/>
    <x v="14"/>
    <x v="10"/>
    <x v="2"/>
    <x v="2"/>
    <x v="7"/>
    <x v="40"/>
    <x v="41"/>
    <x v="4"/>
    <x v="2"/>
    <x v="41"/>
  </r>
  <r>
    <n v="43"/>
    <x v="19"/>
    <x v="0"/>
    <x v="7"/>
    <x v="18"/>
    <x v="3"/>
    <x v="1"/>
    <x v="19"/>
    <x v="1"/>
    <x v="0"/>
    <x v="1"/>
    <x v="1"/>
    <x v="1"/>
    <x v="1"/>
    <x v="4"/>
    <x v="41"/>
    <x v="42"/>
    <x v="0"/>
    <x v="0"/>
    <x v="42"/>
  </r>
  <r>
    <n v="44"/>
    <x v="20"/>
    <x v="3"/>
    <x v="8"/>
    <x v="19"/>
    <x v="1"/>
    <x v="1"/>
    <x v="20"/>
    <x v="1"/>
    <x v="0"/>
    <x v="15"/>
    <x v="2"/>
    <x v="0"/>
    <x v="1"/>
    <x v="4"/>
    <x v="42"/>
    <x v="43"/>
    <x v="0"/>
    <x v="2"/>
    <x v="43"/>
  </r>
  <r>
    <n v="45"/>
    <x v="21"/>
    <x v="0"/>
    <x v="10"/>
    <x v="20"/>
    <x v="4"/>
    <x v="2"/>
    <x v="21"/>
    <x v="1"/>
    <x v="0"/>
    <x v="16"/>
    <x v="11"/>
    <x v="2"/>
    <x v="2"/>
    <x v="11"/>
    <x v="43"/>
    <x v="44"/>
    <x v="0"/>
    <x v="0"/>
    <x v="44"/>
  </r>
  <r>
    <n v="46"/>
    <x v="21"/>
    <x v="0"/>
    <x v="10"/>
    <x v="20"/>
    <x v="4"/>
    <x v="2"/>
    <x v="21"/>
    <x v="1"/>
    <x v="0"/>
    <x v="16"/>
    <x v="11"/>
    <x v="2"/>
    <x v="1"/>
    <x v="8"/>
    <x v="44"/>
    <x v="45"/>
    <x v="0"/>
    <x v="0"/>
    <x v="45"/>
  </r>
  <r>
    <n v="47"/>
    <x v="22"/>
    <x v="2"/>
    <x v="2"/>
    <x v="21"/>
    <x v="3"/>
    <x v="0"/>
    <x v="22"/>
    <x v="0"/>
    <x v="0"/>
    <x v="17"/>
    <x v="12"/>
    <x v="2"/>
    <x v="1"/>
    <x v="4"/>
    <x v="45"/>
    <x v="46"/>
    <x v="4"/>
    <x v="0"/>
    <x v="46"/>
  </r>
  <r>
    <n v="48"/>
    <x v="23"/>
    <x v="0"/>
    <x v="1"/>
    <x v="22"/>
    <x v="3"/>
    <x v="1"/>
    <x v="23"/>
    <x v="0"/>
    <x v="0"/>
    <x v="18"/>
    <x v="13"/>
    <x v="3"/>
    <x v="2"/>
    <x v="11"/>
    <x v="46"/>
    <x v="47"/>
    <x v="1"/>
    <x v="0"/>
    <x v="47"/>
  </r>
  <r>
    <n v="49"/>
    <x v="23"/>
    <x v="0"/>
    <x v="1"/>
    <x v="22"/>
    <x v="3"/>
    <x v="1"/>
    <x v="23"/>
    <x v="0"/>
    <x v="0"/>
    <x v="18"/>
    <x v="13"/>
    <x v="3"/>
    <x v="2"/>
    <x v="7"/>
    <x v="47"/>
    <x v="48"/>
    <x v="0"/>
    <x v="0"/>
    <x v="48"/>
  </r>
  <r>
    <n v="50"/>
    <x v="24"/>
    <x v="1"/>
    <x v="3"/>
    <x v="23"/>
    <x v="1"/>
    <x v="1"/>
    <x v="24"/>
    <x v="0"/>
    <x v="0"/>
    <x v="19"/>
    <x v="14"/>
    <x v="2"/>
    <x v="1"/>
    <x v="8"/>
    <x v="48"/>
    <x v="49"/>
    <x v="5"/>
    <x v="0"/>
    <x v="49"/>
  </r>
  <r>
    <n v="51"/>
    <x v="24"/>
    <x v="1"/>
    <x v="3"/>
    <x v="23"/>
    <x v="1"/>
    <x v="1"/>
    <x v="24"/>
    <x v="0"/>
    <x v="0"/>
    <x v="19"/>
    <x v="14"/>
    <x v="2"/>
    <x v="1"/>
    <x v="2"/>
    <x v="49"/>
    <x v="50"/>
    <x v="5"/>
    <x v="0"/>
    <x v="50"/>
  </r>
  <r>
    <n v="52"/>
    <x v="24"/>
    <x v="1"/>
    <x v="3"/>
    <x v="23"/>
    <x v="1"/>
    <x v="1"/>
    <x v="24"/>
    <x v="0"/>
    <x v="0"/>
    <x v="19"/>
    <x v="14"/>
    <x v="2"/>
    <x v="0"/>
    <x v="5"/>
    <x v="50"/>
    <x v="51"/>
    <x v="0"/>
    <x v="0"/>
    <x v="51"/>
  </r>
  <r>
    <n v="53"/>
    <x v="24"/>
    <x v="1"/>
    <x v="3"/>
    <x v="23"/>
    <x v="1"/>
    <x v="1"/>
    <x v="24"/>
    <x v="0"/>
    <x v="0"/>
    <x v="19"/>
    <x v="14"/>
    <x v="2"/>
    <x v="0"/>
    <x v="1"/>
    <x v="51"/>
    <x v="52"/>
    <x v="7"/>
    <x v="0"/>
    <x v="52"/>
  </r>
  <r>
    <n v="54"/>
    <x v="25"/>
    <x v="0"/>
    <x v="4"/>
    <x v="24"/>
    <x v="5"/>
    <x v="1"/>
    <x v="25"/>
    <x v="1"/>
    <x v="0"/>
    <x v="20"/>
    <x v="15"/>
    <x v="3"/>
    <x v="1"/>
    <x v="13"/>
    <x v="52"/>
    <x v="53"/>
    <x v="3"/>
    <x v="0"/>
    <x v="53"/>
  </r>
  <r>
    <n v="55"/>
    <x v="25"/>
    <x v="0"/>
    <x v="4"/>
    <x v="24"/>
    <x v="5"/>
    <x v="1"/>
    <x v="25"/>
    <x v="1"/>
    <x v="0"/>
    <x v="20"/>
    <x v="15"/>
    <x v="3"/>
    <x v="2"/>
    <x v="7"/>
    <x v="53"/>
    <x v="54"/>
    <x v="2"/>
    <x v="0"/>
    <x v="54"/>
  </r>
  <r>
    <n v="56"/>
    <x v="26"/>
    <x v="0"/>
    <x v="1"/>
    <x v="25"/>
    <x v="6"/>
    <x v="2"/>
    <x v="26"/>
    <x v="0"/>
    <x v="0"/>
    <x v="21"/>
    <x v="15"/>
    <x v="3"/>
    <x v="1"/>
    <x v="4"/>
    <x v="54"/>
    <x v="55"/>
    <x v="5"/>
    <x v="0"/>
    <x v="55"/>
  </r>
  <r>
    <n v="57"/>
    <x v="26"/>
    <x v="0"/>
    <x v="1"/>
    <x v="25"/>
    <x v="6"/>
    <x v="2"/>
    <x v="26"/>
    <x v="0"/>
    <x v="0"/>
    <x v="21"/>
    <x v="15"/>
    <x v="3"/>
    <x v="1"/>
    <x v="10"/>
    <x v="55"/>
    <x v="56"/>
    <x v="2"/>
    <x v="0"/>
    <x v="56"/>
  </r>
  <r>
    <n v="58"/>
    <x v="26"/>
    <x v="0"/>
    <x v="1"/>
    <x v="25"/>
    <x v="6"/>
    <x v="2"/>
    <x v="26"/>
    <x v="0"/>
    <x v="0"/>
    <x v="21"/>
    <x v="15"/>
    <x v="3"/>
    <x v="0"/>
    <x v="1"/>
    <x v="56"/>
    <x v="57"/>
    <x v="2"/>
    <x v="9"/>
    <x v="57"/>
  </r>
  <r>
    <n v="59"/>
    <x v="26"/>
    <x v="0"/>
    <x v="1"/>
    <x v="25"/>
    <x v="6"/>
    <x v="2"/>
    <x v="26"/>
    <x v="0"/>
    <x v="0"/>
    <x v="21"/>
    <x v="15"/>
    <x v="3"/>
    <x v="1"/>
    <x v="10"/>
    <x v="57"/>
    <x v="58"/>
    <x v="0"/>
    <x v="0"/>
    <x v="58"/>
  </r>
  <r>
    <n v="60"/>
    <x v="26"/>
    <x v="0"/>
    <x v="1"/>
    <x v="25"/>
    <x v="6"/>
    <x v="2"/>
    <x v="26"/>
    <x v="0"/>
    <x v="0"/>
    <x v="21"/>
    <x v="15"/>
    <x v="3"/>
    <x v="2"/>
    <x v="11"/>
    <x v="46"/>
    <x v="59"/>
    <x v="0"/>
    <x v="0"/>
    <x v="59"/>
  </r>
  <r>
    <n v="61"/>
    <x v="26"/>
    <x v="0"/>
    <x v="1"/>
    <x v="25"/>
    <x v="6"/>
    <x v="2"/>
    <x v="26"/>
    <x v="0"/>
    <x v="0"/>
    <x v="21"/>
    <x v="15"/>
    <x v="3"/>
    <x v="1"/>
    <x v="8"/>
    <x v="58"/>
    <x v="60"/>
    <x v="4"/>
    <x v="2"/>
    <x v="60"/>
  </r>
  <r>
    <n v="62"/>
    <x v="26"/>
    <x v="0"/>
    <x v="1"/>
    <x v="25"/>
    <x v="6"/>
    <x v="2"/>
    <x v="26"/>
    <x v="0"/>
    <x v="0"/>
    <x v="21"/>
    <x v="15"/>
    <x v="3"/>
    <x v="1"/>
    <x v="6"/>
    <x v="59"/>
    <x v="61"/>
    <x v="7"/>
    <x v="0"/>
    <x v="61"/>
  </r>
  <r>
    <n v="63"/>
    <x v="27"/>
    <x v="1"/>
    <x v="0"/>
    <x v="26"/>
    <x v="5"/>
    <x v="1"/>
    <x v="27"/>
    <x v="0"/>
    <x v="0"/>
    <x v="1"/>
    <x v="1"/>
    <x v="1"/>
    <x v="2"/>
    <x v="11"/>
    <x v="60"/>
    <x v="62"/>
    <x v="0"/>
    <x v="0"/>
    <x v="62"/>
  </r>
  <r>
    <n v="64"/>
    <x v="27"/>
    <x v="1"/>
    <x v="0"/>
    <x v="26"/>
    <x v="5"/>
    <x v="1"/>
    <x v="27"/>
    <x v="0"/>
    <x v="0"/>
    <x v="1"/>
    <x v="1"/>
    <x v="1"/>
    <x v="1"/>
    <x v="8"/>
    <x v="61"/>
    <x v="63"/>
    <x v="5"/>
    <x v="2"/>
    <x v="63"/>
  </r>
  <r>
    <n v="65"/>
    <x v="27"/>
    <x v="1"/>
    <x v="0"/>
    <x v="26"/>
    <x v="5"/>
    <x v="1"/>
    <x v="27"/>
    <x v="0"/>
    <x v="0"/>
    <x v="1"/>
    <x v="1"/>
    <x v="1"/>
    <x v="1"/>
    <x v="10"/>
    <x v="62"/>
    <x v="64"/>
    <x v="1"/>
    <x v="0"/>
    <x v="64"/>
  </r>
  <r>
    <n v="66"/>
    <x v="27"/>
    <x v="1"/>
    <x v="0"/>
    <x v="26"/>
    <x v="5"/>
    <x v="1"/>
    <x v="27"/>
    <x v="0"/>
    <x v="0"/>
    <x v="1"/>
    <x v="1"/>
    <x v="1"/>
    <x v="0"/>
    <x v="5"/>
    <x v="63"/>
    <x v="65"/>
    <x v="4"/>
    <x v="0"/>
    <x v="65"/>
  </r>
  <r>
    <n v="67"/>
    <x v="28"/>
    <x v="1"/>
    <x v="3"/>
    <x v="27"/>
    <x v="3"/>
    <x v="1"/>
    <x v="28"/>
    <x v="2"/>
    <x v="0"/>
    <x v="22"/>
    <x v="10"/>
    <x v="2"/>
    <x v="0"/>
    <x v="1"/>
    <x v="64"/>
    <x v="66"/>
    <x v="2"/>
    <x v="4"/>
    <x v="66"/>
  </r>
  <r>
    <n v="68"/>
    <x v="29"/>
    <x v="2"/>
    <x v="4"/>
    <x v="28"/>
    <x v="3"/>
    <x v="1"/>
    <x v="29"/>
    <x v="1"/>
    <x v="0"/>
    <x v="23"/>
    <x v="16"/>
    <x v="1"/>
    <x v="1"/>
    <x v="6"/>
    <x v="65"/>
    <x v="67"/>
    <x v="8"/>
    <x v="2"/>
    <x v="67"/>
  </r>
  <r>
    <n v="69"/>
    <x v="29"/>
    <x v="2"/>
    <x v="4"/>
    <x v="28"/>
    <x v="3"/>
    <x v="1"/>
    <x v="29"/>
    <x v="1"/>
    <x v="0"/>
    <x v="23"/>
    <x v="16"/>
    <x v="1"/>
    <x v="2"/>
    <x v="7"/>
    <x v="66"/>
    <x v="68"/>
    <x v="4"/>
    <x v="2"/>
    <x v="68"/>
  </r>
  <r>
    <n v="70"/>
    <x v="30"/>
    <x v="0"/>
    <x v="1"/>
    <x v="29"/>
    <x v="4"/>
    <x v="2"/>
    <x v="30"/>
    <x v="0"/>
    <x v="0"/>
    <x v="24"/>
    <x v="17"/>
    <x v="0"/>
    <x v="1"/>
    <x v="10"/>
    <x v="67"/>
    <x v="69"/>
    <x v="0"/>
    <x v="0"/>
    <x v="69"/>
  </r>
  <r>
    <n v="71"/>
    <x v="31"/>
    <x v="0"/>
    <x v="8"/>
    <x v="30"/>
    <x v="3"/>
    <x v="1"/>
    <x v="31"/>
    <x v="0"/>
    <x v="0"/>
    <x v="20"/>
    <x v="15"/>
    <x v="3"/>
    <x v="1"/>
    <x v="8"/>
    <x v="68"/>
    <x v="70"/>
    <x v="7"/>
    <x v="2"/>
    <x v="70"/>
  </r>
  <r>
    <n v="72"/>
    <x v="32"/>
    <x v="3"/>
    <x v="8"/>
    <x v="31"/>
    <x v="0"/>
    <x v="0"/>
    <x v="14"/>
    <x v="0"/>
    <x v="0"/>
    <x v="25"/>
    <x v="12"/>
    <x v="2"/>
    <x v="1"/>
    <x v="10"/>
    <x v="69"/>
    <x v="71"/>
    <x v="1"/>
    <x v="0"/>
    <x v="71"/>
  </r>
  <r>
    <n v="73"/>
    <x v="33"/>
    <x v="1"/>
    <x v="3"/>
    <x v="32"/>
    <x v="5"/>
    <x v="1"/>
    <x v="32"/>
    <x v="0"/>
    <x v="0"/>
    <x v="26"/>
    <x v="18"/>
    <x v="0"/>
    <x v="0"/>
    <x v="1"/>
    <x v="70"/>
    <x v="72"/>
    <x v="8"/>
    <x v="2"/>
    <x v="72"/>
  </r>
  <r>
    <n v="74"/>
    <x v="33"/>
    <x v="1"/>
    <x v="3"/>
    <x v="32"/>
    <x v="5"/>
    <x v="1"/>
    <x v="32"/>
    <x v="0"/>
    <x v="0"/>
    <x v="26"/>
    <x v="18"/>
    <x v="0"/>
    <x v="0"/>
    <x v="5"/>
    <x v="71"/>
    <x v="73"/>
    <x v="0"/>
    <x v="2"/>
    <x v="73"/>
  </r>
  <r>
    <n v="75"/>
    <x v="33"/>
    <x v="1"/>
    <x v="3"/>
    <x v="32"/>
    <x v="5"/>
    <x v="1"/>
    <x v="32"/>
    <x v="0"/>
    <x v="0"/>
    <x v="26"/>
    <x v="18"/>
    <x v="0"/>
    <x v="1"/>
    <x v="4"/>
    <x v="72"/>
    <x v="74"/>
    <x v="7"/>
    <x v="2"/>
    <x v="74"/>
  </r>
  <r>
    <n v="76"/>
    <x v="34"/>
    <x v="3"/>
    <x v="4"/>
    <x v="33"/>
    <x v="4"/>
    <x v="2"/>
    <x v="33"/>
    <x v="1"/>
    <x v="0"/>
    <x v="12"/>
    <x v="5"/>
    <x v="2"/>
    <x v="1"/>
    <x v="8"/>
    <x v="73"/>
    <x v="75"/>
    <x v="1"/>
    <x v="3"/>
    <x v="75"/>
  </r>
  <r>
    <n v="77"/>
    <x v="34"/>
    <x v="3"/>
    <x v="4"/>
    <x v="33"/>
    <x v="4"/>
    <x v="2"/>
    <x v="33"/>
    <x v="1"/>
    <x v="0"/>
    <x v="12"/>
    <x v="5"/>
    <x v="2"/>
    <x v="0"/>
    <x v="5"/>
    <x v="74"/>
    <x v="76"/>
    <x v="1"/>
    <x v="7"/>
    <x v="76"/>
  </r>
  <r>
    <n v="78"/>
    <x v="34"/>
    <x v="3"/>
    <x v="4"/>
    <x v="33"/>
    <x v="4"/>
    <x v="2"/>
    <x v="33"/>
    <x v="1"/>
    <x v="0"/>
    <x v="12"/>
    <x v="5"/>
    <x v="2"/>
    <x v="1"/>
    <x v="4"/>
    <x v="75"/>
    <x v="77"/>
    <x v="1"/>
    <x v="2"/>
    <x v="77"/>
  </r>
  <r>
    <n v="79"/>
    <x v="35"/>
    <x v="2"/>
    <x v="0"/>
    <x v="34"/>
    <x v="3"/>
    <x v="0"/>
    <x v="32"/>
    <x v="0"/>
    <x v="0"/>
    <x v="12"/>
    <x v="5"/>
    <x v="2"/>
    <x v="0"/>
    <x v="5"/>
    <x v="76"/>
    <x v="78"/>
    <x v="2"/>
    <x v="7"/>
    <x v="78"/>
  </r>
  <r>
    <n v="80"/>
    <x v="1"/>
    <x v="0"/>
    <x v="1"/>
    <x v="35"/>
    <x v="0"/>
    <x v="2"/>
    <x v="34"/>
    <x v="1"/>
    <x v="0"/>
    <x v="27"/>
    <x v="19"/>
    <x v="0"/>
    <x v="1"/>
    <x v="9"/>
    <x v="77"/>
    <x v="79"/>
    <x v="7"/>
    <x v="0"/>
    <x v="79"/>
  </r>
  <r>
    <n v="81"/>
    <x v="1"/>
    <x v="0"/>
    <x v="1"/>
    <x v="35"/>
    <x v="0"/>
    <x v="2"/>
    <x v="34"/>
    <x v="1"/>
    <x v="0"/>
    <x v="27"/>
    <x v="19"/>
    <x v="0"/>
    <x v="1"/>
    <x v="8"/>
    <x v="78"/>
    <x v="80"/>
    <x v="1"/>
    <x v="0"/>
    <x v="80"/>
  </r>
  <r>
    <n v="82"/>
    <x v="36"/>
    <x v="2"/>
    <x v="2"/>
    <x v="36"/>
    <x v="1"/>
    <x v="1"/>
    <x v="35"/>
    <x v="0"/>
    <x v="0"/>
    <x v="8"/>
    <x v="1"/>
    <x v="1"/>
    <x v="1"/>
    <x v="6"/>
    <x v="79"/>
    <x v="81"/>
    <x v="2"/>
    <x v="0"/>
    <x v="81"/>
  </r>
  <r>
    <n v="83"/>
    <x v="36"/>
    <x v="2"/>
    <x v="2"/>
    <x v="36"/>
    <x v="1"/>
    <x v="1"/>
    <x v="35"/>
    <x v="0"/>
    <x v="0"/>
    <x v="8"/>
    <x v="1"/>
    <x v="1"/>
    <x v="1"/>
    <x v="4"/>
    <x v="80"/>
    <x v="82"/>
    <x v="7"/>
    <x v="0"/>
    <x v="82"/>
  </r>
  <r>
    <n v="84"/>
    <x v="37"/>
    <x v="1"/>
    <x v="8"/>
    <x v="37"/>
    <x v="3"/>
    <x v="1"/>
    <x v="36"/>
    <x v="1"/>
    <x v="0"/>
    <x v="28"/>
    <x v="3"/>
    <x v="0"/>
    <x v="1"/>
    <x v="12"/>
    <x v="81"/>
    <x v="83"/>
    <x v="3"/>
    <x v="2"/>
    <x v="83"/>
  </r>
  <r>
    <n v="85"/>
    <x v="38"/>
    <x v="3"/>
    <x v="0"/>
    <x v="38"/>
    <x v="0"/>
    <x v="2"/>
    <x v="37"/>
    <x v="2"/>
    <x v="0"/>
    <x v="22"/>
    <x v="10"/>
    <x v="2"/>
    <x v="1"/>
    <x v="4"/>
    <x v="82"/>
    <x v="84"/>
    <x v="1"/>
    <x v="2"/>
    <x v="84"/>
  </r>
  <r>
    <n v="86"/>
    <x v="39"/>
    <x v="3"/>
    <x v="5"/>
    <x v="39"/>
    <x v="4"/>
    <x v="0"/>
    <x v="22"/>
    <x v="0"/>
    <x v="0"/>
    <x v="29"/>
    <x v="20"/>
    <x v="0"/>
    <x v="0"/>
    <x v="1"/>
    <x v="83"/>
    <x v="85"/>
    <x v="0"/>
    <x v="0"/>
    <x v="85"/>
  </r>
  <r>
    <n v="87"/>
    <x v="40"/>
    <x v="3"/>
    <x v="2"/>
    <x v="40"/>
    <x v="2"/>
    <x v="1"/>
    <x v="38"/>
    <x v="0"/>
    <x v="0"/>
    <x v="30"/>
    <x v="11"/>
    <x v="2"/>
    <x v="2"/>
    <x v="11"/>
    <x v="84"/>
    <x v="86"/>
    <x v="7"/>
    <x v="0"/>
    <x v="86"/>
  </r>
  <r>
    <n v="88"/>
    <x v="40"/>
    <x v="3"/>
    <x v="2"/>
    <x v="40"/>
    <x v="2"/>
    <x v="1"/>
    <x v="38"/>
    <x v="0"/>
    <x v="0"/>
    <x v="30"/>
    <x v="11"/>
    <x v="2"/>
    <x v="1"/>
    <x v="2"/>
    <x v="85"/>
    <x v="51"/>
    <x v="0"/>
    <x v="0"/>
    <x v="51"/>
  </r>
  <r>
    <n v="89"/>
    <x v="41"/>
    <x v="0"/>
    <x v="3"/>
    <x v="41"/>
    <x v="3"/>
    <x v="0"/>
    <x v="39"/>
    <x v="2"/>
    <x v="0"/>
    <x v="12"/>
    <x v="5"/>
    <x v="2"/>
    <x v="1"/>
    <x v="4"/>
    <x v="86"/>
    <x v="87"/>
    <x v="3"/>
    <x v="2"/>
    <x v="87"/>
  </r>
  <r>
    <n v="90"/>
    <x v="42"/>
    <x v="0"/>
    <x v="8"/>
    <x v="42"/>
    <x v="3"/>
    <x v="1"/>
    <x v="40"/>
    <x v="1"/>
    <x v="0"/>
    <x v="1"/>
    <x v="1"/>
    <x v="1"/>
    <x v="1"/>
    <x v="6"/>
    <x v="87"/>
    <x v="88"/>
    <x v="1"/>
    <x v="0"/>
    <x v="88"/>
  </r>
  <r>
    <n v="91"/>
    <x v="42"/>
    <x v="0"/>
    <x v="8"/>
    <x v="42"/>
    <x v="3"/>
    <x v="1"/>
    <x v="40"/>
    <x v="1"/>
    <x v="0"/>
    <x v="1"/>
    <x v="1"/>
    <x v="1"/>
    <x v="2"/>
    <x v="7"/>
    <x v="40"/>
    <x v="89"/>
    <x v="0"/>
    <x v="2"/>
    <x v="89"/>
  </r>
  <r>
    <n v="92"/>
    <x v="42"/>
    <x v="0"/>
    <x v="8"/>
    <x v="42"/>
    <x v="3"/>
    <x v="1"/>
    <x v="40"/>
    <x v="1"/>
    <x v="0"/>
    <x v="1"/>
    <x v="1"/>
    <x v="1"/>
    <x v="1"/>
    <x v="10"/>
    <x v="88"/>
    <x v="90"/>
    <x v="7"/>
    <x v="0"/>
    <x v="90"/>
  </r>
  <r>
    <n v="93"/>
    <x v="43"/>
    <x v="1"/>
    <x v="9"/>
    <x v="43"/>
    <x v="3"/>
    <x v="0"/>
    <x v="41"/>
    <x v="0"/>
    <x v="0"/>
    <x v="31"/>
    <x v="11"/>
    <x v="2"/>
    <x v="1"/>
    <x v="10"/>
    <x v="89"/>
    <x v="91"/>
    <x v="0"/>
    <x v="0"/>
    <x v="91"/>
  </r>
  <r>
    <n v="94"/>
    <x v="43"/>
    <x v="1"/>
    <x v="9"/>
    <x v="43"/>
    <x v="3"/>
    <x v="0"/>
    <x v="41"/>
    <x v="0"/>
    <x v="0"/>
    <x v="31"/>
    <x v="11"/>
    <x v="2"/>
    <x v="0"/>
    <x v="5"/>
    <x v="90"/>
    <x v="92"/>
    <x v="1"/>
    <x v="0"/>
    <x v="92"/>
  </r>
  <r>
    <n v="95"/>
    <x v="43"/>
    <x v="1"/>
    <x v="9"/>
    <x v="43"/>
    <x v="3"/>
    <x v="0"/>
    <x v="41"/>
    <x v="0"/>
    <x v="0"/>
    <x v="31"/>
    <x v="11"/>
    <x v="2"/>
    <x v="1"/>
    <x v="8"/>
    <x v="91"/>
    <x v="93"/>
    <x v="0"/>
    <x v="0"/>
    <x v="93"/>
  </r>
  <r>
    <n v="96"/>
    <x v="44"/>
    <x v="3"/>
    <x v="0"/>
    <x v="44"/>
    <x v="5"/>
    <x v="1"/>
    <x v="42"/>
    <x v="2"/>
    <x v="0"/>
    <x v="32"/>
    <x v="21"/>
    <x v="1"/>
    <x v="1"/>
    <x v="8"/>
    <x v="92"/>
    <x v="94"/>
    <x v="7"/>
    <x v="6"/>
    <x v="94"/>
  </r>
  <r>
    <n v="97"/>
    <x v="45"/>
    <x v="3"/>
    <x v="0"/>
    <x v="45"/>
    <x v="4"/>
    <x v="0"/>
    <x v="43"/>
    <x v="2"/>
    <x v="0"/>
    <x v="20"/>
    <x v="15"/>
    <x v="3"/>
    <x v="0"/>
    <x v="5"/>
    <x v="93"/>
    <x v="95"/>
    <x v="3"/>
    <x v="0"/>
    <x v="95"/>
  </r>
  <r>
    <n v="98"/>
    <x v="46"/>
    <x v="3"/>
    <x v="1"/>
    <x v="46"/>
    <x v="0"/>
    <x v="2"/>
    <x v="44"/>
    <x v="0"/>
    <x v="0"/>
    <x v="8"/>
    <x v="1"/>
    <x v="1"/>
    <x v="1"/>
    <x v="8"/>
    <x v="94"/>
    <x v="96"/>
    <x v="1"/>
    <x v="2"/>
    <x v="96"/>
  </r>
  <r>
    <n v="99"/>
    <x v="47"/>
    <x v="0"/>
    <x v="8"/>
    <x v="47"/>
    <x v="3"/>
    <x v="1"/>
    <x v="45"/>
    <x v="1"/>
    <x v="0"/>
    <x v="33"/>
    <x v="11"/>
    <x v="2"/>
    <x v="1"/>
    <x v="9"/>
    <x v="95"/>
    <x v="42"/>
    <x v="5"/>
    <x v="0"/>
    <x v="97"/>
  </r>
  <r>
    <n v="100"/>
    <x v="48"/>
    <x v="0"/>
    <x v="6"/>
    <x v="48"/>
    <x v="1"/>
    <x v="1"/>
    <x v="46"/>
    <x v="2"/>
    <x v="0"/>
    <x v="22"/>
    <x v="10"/>
    <x v="2"/>
    <x v="1"/>
    <x v="10"/>
    <x v="96"/>
    <x v="97"/>
    <x v="3"/>
    <x v="2"/>
    <x v="98"/>
  </r>
  <r>
    <n v="101"/>
    <x v="48"/>
    <x v="0"/>
    <x v="6"/>
    <x v="48"/>
    <x v="1"/>
    <x v="1"/>
    <x v="46"/>
    <x v="2"/>
    <x v="0"/>
    <x v="22"/>
    <x v="10"/>
    <x v="2"/>
    <x v="2"/>
    <x v="11"/>
    <x v="97"/>
    <x v="98"/>
    <x v="1"/>
    <x v="2"/>
    <x v="99"/>
  </r>
  <r>
    <n v="102"/>
    <x v="48"/>
    <x v="0"/>
    <x v="6"/>
    <x v="48"/>
    <x v="1"/>
    <x v="1"/>
    <x v="46"/>
    <x v="2"/>
    <x v="0"/>
    <x v="22"/>
    <x v="10"/>
    <x v="2"/>
    <x v="1"/>
    <x v="8"/>
    <x v="98"/>
    <x v="99"/>
    <x v="1"/>
    <x v="3"/>
    <x v="100"/>
  </r>
  <r>
    <n v="103"/>
    <x v="49"/>
    <x v="0"/>
    <x v="4"/>
    <x v="49"/>
    <x v="0"/>
    <x v="0"/>
    <x v="47"/>
    <x v="0"/>
    <x v="0"/>
    <x v="30"/>
    <x v="11"/>
    <x v="2"/>
    <x v="1"/>
    <x v="10"/>
    <x v="99"/>
    <x v="100"/>
    <x v="4"/>
    <x v="0"/>
    <x v="101"/>
  </r>
  <r>
    <n v="104"/>
    <x v="50"/>
    <x v="1"/>
    <x v="0"/>
    <x v="50"/>
    <x v="1"/>
    <x v="1"/>
    <x v="48"/>
    <x v="0"/>
    <x v="0"/>
    <x v="34"/>
    <x v="22"/>
    <x v="1"/>
    <x v="2"/>
    <x v="11"/>
    <x v="100"/>
    <x v="101"/>
    <x v="5"/>
    <x v="2"/>
    <x v="102"/>
  </r>
  <r>
    <n v="105"/>
    <x v="50"/>
    <x v="1"/>
    <x v="0"/>
    <x v="50"/>
    <x v="1"/>
    <x v="1"/>
    <x v="48"/>
    <x v="0"/>
    <x v="0"/>
    <x v="34"/>
    <x v="22"/>
    <x v="1"/>
    <x v="0"/>
    <x v="5"/>
    <x v="101"/>
    <x v="102"/>
    <x v="1"/>
    <x v="2"/>
    <x v="103"/>
  </r>
  <r>
    <n v="106"/>
    <x v="50"/>
    <x v="1"/>
    <x v="0"/>
    <x v="50"/>
    <x v="1"/>
    <x v="1"/>
    <x v="48"/>
    <x v="0"/>
    <x v="0"/>
    <x v="34"/>
    <x v="22"/>
    <x v="1"/>
    <x v="1"/>
    <x v="8"/>
    <x v="102"/>
    <x v="103"/>
    <x v="1"/>
    <x v="6"/>
    <x v="104"/>
  </r>
  <r>
    <n v="107"/>
    <x v="51"/>
    <x v="3"/>
    <x v="0"/>
    <x v="51"/>
    <x v="3"/>
    <x v="1"/>
    <x v="49"/>
    <x v="0"/>
    <x v="0"/>
    <x v="35"/>
    <x v="3"/>
    <x v="0"/>
    <x v="2"/>
    <x v="11"/>
    <x v="103"/>
    <x v="104"/>
    <x v="8"/>
    <x v="2"/>
    <x v="105"/>
  </r>
  <r>
    <n v="108"/>
    <x v="51"/>
    <x v="3"/>
    <x v="0"/>
    <x v="51"/>
    <x v="3"/>
    <x v="1"/>
    <x v="49"/>
    <x v="0"/>
    <x v="0"/>
    <x v="35"/>
    <x v="3"/>
    <x v="0"/>
    <x v="2"/>
    <x v="7"/>
    <x v="104"/>
    <x v="105"/>
    <x v="7"/>
    <x v="2"/>
    <x v="106"/>
  </r>
  <r>
    <n v="109"/>
    <x v="51"/>
    <x v="3"/>
    <x v="0"/>
    <x v="51"/>
    <x v="3"/>
    <x v="1"/>
    <x v="49"/>
    <x v="0"/>
    <x v="0"/>
    <x v="35"/>
    <x v="3"/>
    <x v="0"/>
    <x v="1"/>
    <x v="6"/>
    <x v="105"/>
    <x v="106"/>
    <x v="7"/>
    <x v="2"/>
    <x v="107"/>
  </r>
  <r>
    <n v="110"/>
    <x v="52"/>
    <x v="1"/>
    <x v="2"/>
    <x v="52"/>
    <x v="3"/>
    <x v="1"/>
    <x v="50"/>
    <x v="2"/>
    <x v="0"/>
    <x v="36"/>
    <x v="10"/>
    <x v="2"/>
    <x v="2"/>
    <x v="11"/>
    <x v="106"/>
    <x v="107"/>
    <x v="2"/>
    <x v="2"/>
    <x v="108"/>
  </r>
  <r>
    <n v="111"/>
    <x v="53"/>
    <x v="3"/>
    <x v="4"/>
    <x v="53"/>
    <x v="3"/>
    <x v="1"/>
    <x v="51"/>
    <x v="1"/>
    <x v="0"/>
    <x v="20"/>
    <x v="15"/>
    <x v="3"/>
    <x v="0"/>
    <x v="5"/>
    <x v="107"/>
    <x v="108"/>
    <x v="0"/>
    <x v="0"/>
    <x v="109"/>
  </r>
  <r>
    <n v="112"/>
    <x v="54"/>
    <x v="0"/>
    <x v="0"/>
    <x v="54"/>
    <x v="2"/>
    <x v="1"/>
    <x v="52"/>
    <x v="0"/>
    <x v="0"/>
    <x v="37"/>
    <x v="23"/>
    <x v="2"/>
    <x v="1"/>
    <x v="6"/>
    <x v="108"/>
    <x v="109"/>
    <x v="0"/>
    <x v="0"/>
    <x v="110"/>
  </r>
  <r>
    <n v="113"/>
    <x v="54"/>
    <x v="0"/>
    <x v="0"/>
    <x v="54"/>
    <x v="2"/>
    <x v="1"/>
    <x v="52"/>
    <x v="0"/>
    <x v="0"/>
    <x v="37"/>
    <x v="23"/>
    <x v="2"/>
    <x v="1"/>
    <x v="8"/>
    <x v="109"/>
    <x v="77"/>
    <x v="5"/>
    <x v="0"/>
    <x v="111"/>
  </r>
  <r>
    <n v="114"/>
    <x v="55"/>
    <x v="2"/>
    <x v="6"/>
    <x v="55"/>
    <x v="4"/>
    <x v="0"/>
    <x v="53"/>
    <x v="0"/>
    <x v="0"/>
    <x v="38"/>
    <x v="24"/>
    <x v="3"/>
    <x v="1"/>
    <x v="13"/>
    <x v="110"/>
    <x v="110"/>
    <x v="9"/>
    <x v="2"/>
    <x v="112"/>
  </r>
  <r>
    <n v="115"/>
    <x v="55"/>
    <x v="2"/>
    <x v="6"/>
    <x v="55"/>
    <x v="4"/>
    <x v="0"/>
    <x v="53"/>
    <x v="0"/>
    <x v="0"/>
    <x v="38"/>
    <x v="24"/>
    <x v="3"/>
    <x v="1"/>
    <x v="12"/>
    <x v="111"/>
    <x v="111"/>
    <x v="0"/>
    <x v="2"/>
    <x v="113"/>
  </r>
  <r>
    <n v="116"/>
    <x v="55"/>
    <x v="2"/>
    <x v="6"/>
    <x v="55"/>
    <x v="4"/>
    <x v="0"/>
    <x v="53"/>
    <x v="0"/>
    <x v="0"/>
    <x v="38"/>
    <x v="24"/>
    <x v="3"/>
    <x v="1"/>
    <x v="10"/>
    <x v="112"/>
    <x v="112"/>
    <x v="1"/>
    <x v="2"/>
    <x v="114"/>
  </r>
  <r>
    <n v="117"/>
    <x v="55"/>
    <x v="2"/>
    <x v="6"/>
    <x v="55"/>
    <x v="4"/>
    <x v="0"/>
    <x v="53"/>
    <x v="0"/>
    <x v="0"/>
    <x v="38"/>
    <x v="24"/>
    <x v="3"/>
    <x v="1"/>
    <x v="12"/>
    <x v="113"/>
    <x v="113"/>
    <x v="5"/>
    <x v="2"/>
    <x v="115"/>
  </r>
  <r>
    <n v="118"/>
    <x v="56"/>
    <x v="1"/>
    <x v="10"/>
    <x v="56"/>
    <x v="1"/>
    <x v="1"/>
    <x v="54"/>
    <x v="0"/>
    <x v="0"/>
    <x v="4"/>
    <x v="4"/>
    <x v="1"/>
    <x v="0"/>
    <x v="3"/>
    <x v="114"/>
    <x v="114"/>
    <x v="1"/>
    <x v="0"/>
    <x v="116"/>
  </r>
  <r>
    <n v="119"/>
    <x v="57"/>
    <x v="1"/>
    <x v="3"/>
    <x v="57"/>
    <x v="3"/>
    <x v="1"/>
    <x v="55"/>
    <x v="1"/>
    <x v="0"/>
    <x v="39"/>
    <x v="18"/>
    <x v="0"/>
    <x v="1"/>
    <x v="8"/>
    <x v="115"/>
    <x v="115"/>
    <x v="7"/>
    <x v="6"/>
    <x v="117"/>
  </r>
  <r>
    <n v="120"/>
    <x v="1"/>
    <x v="0"/>
    <x v="1"/>
    <x v="35"/>
    <x v="0"/>
    <x v="2"/>
    <x v="56"/>
    <x v="0"/>
    <x v="0"/>
    <x v="40"/>
    <x v="13"/>
    <x v="3"/>
    <x v="0"/>
    <x v="5"/>
    <x v="116"/>
    <x v="116"/>
    <x v="1"/>
    <x v="0"/>
    <x v="118"/>
  </r>
  <r>
    <n v="121"/>
    <x v="1"/>
    <x v="0"/>
    <x v="1"/>
    <x v="35"/>
    <x v="0"/>
    <x v="2"/>
    <x v="56"/>
    <x v="0"/>
    <x v="0"/>
    <x v="40"/>
    <x v="13"/>
    <x v="3"/>
    <x v="1"/>
    <x v="8"/>
    <x v="8"/>
    <x v="117"/>
    <x v="4"/>
    <x v="0"/>
    <x v="119"/>
  </r>
  <r>
    <n v="122"/>
    <x v="1"/>
    <x v="0"/>
    <x v="1"/>
    <x v="35"/>
    <x v="0"/>
    <x v="2"/>
    <x v="56"/>
    <x v="0"/>
    <x v="0"/>
    <x v="40"/>
    <x v="13"/>
    <x v="3"/>
    <x v="1"/>
    <x v="4"/>
    <x v="117"/>
    <x v="118"/>
    <x v="5"/>
    <x v="0"/>
    <x v="120"/>
  </r>
  <r>
    <n v="123"/>
    <x v="1"/>
    <x v="0"/>
    <x v="1"/>
    <x v="35"/>
    <x v="0"/>
    <x v="2"/>
    <x v="56"/>
    <x v="0"/>
    <x v="0"/>
    <x v="40"/>
    <x v="13"/>
    <x v="3"/>
    <x v="1"/>
    <x v="12"/>
    <x v="118"/>
    <x v="119"/>
    <x v="6"/>
    <x v="0"/>
    <x v="121"/>
  </r>
  <r>
    <n v="124"/>
    <x v="1"/>
    <x v="0"/>
    <x v="1"/>
    <x v="35"/>
    <x v="0"/>
    <x v="2"/>
    <x v="56"/>
    <x v="0"/>
    <x v="0"/>
    <x v="40"/>
    <x v="13"/>
    <x v="3"/>
    <x v="2"/>
    <x v="7"/>
    <x v="119"/>
    <x v="120"/>
    <x v="3"/>
    <x v="0"/>
    <x v="122"/>
  </r>
  <r>
    <n v="125"/>
    <x v="58"/>
    <x v="2"/>
    <x v="4"/>
    <x v="58"/>
    <x v="4"/>
    <x v="0"/>
    <x v="57"/>
    <x v="2"/>
    <x v="0"/>
    <x v="12"/>
    <x v="5"/>
    <x v="2"/>
    <x v="0"/>
    <x v="1"/>
    <x v="120"/>
    <x v="121"/>
    <x v="1"/>
    <x v="4"/>
    <x v="123"/>
  </r>
  <r>
    <n v="126"/>
    <x v="59"/>
    <x v="2"/>
    <x v="8"/>
    <x v="59"/>
    <x v="3"/>
    <x v="1"/>
    <x v="58"/>
    <x v="0"/>
    <x v="0"/>
    <x v="41"/>
    <x v="10"/>
    <x v="2"/>
    <x v="0"/>
    <x v="3"/>
    <x v="121"/>
    <x v="122"/>
    <x v="5"/>
    <x v="5"/>
    <x v="124"/>
  </r>
  <r>
    <n v="127"/>
    <x v="60"/>
    <x v="3"/>
    <x v="0"/>
    <x v="44"/>
    <x v="2"/>
    <x v="1"/>
    <x v="59"/>
    <x v="0"/>
    <x v="0"/>
    <x v="42"/>
    <x v="16"/>
    <x v="1"/>
    <x v="1"/>
    <x v="8"/>
    <x v="122"/>
    <x v="123"/>
    <x v="0"/>
    <x v="6"/>
    <x v="125"/>
  </r>
  <r>
    <n v="128"/>
    <x v="60"/>
    <x v="3"/>
    <x v="0"/>
    <x v="44"/>
    <x v="2"/>
    <x v="1"/>
    <x v="59"/>
    <x v="0"/>
    <x v="0"/>
    <x v="42"/>
    <x v="16"/>
    <x v="1"/>
    <x v="1"/>
    <x v="4"/>
    <x v="123"/>
    <x v="124"/>
    <x v="3"/>
    <x v="2"/>
    <x v="126"/>
  </r>
  <r>
    <n v="129"/>
    <x v="61"/>
    <x v="0"/>
    <x v="0"/>
    <x v="54"/>
    <x v="1"/>
    <x v="0"/>
    <x v="60"/>
    <x v="2"/>
    <x v="0"/>
    <x v="1"/>
    <x v="1"/>
    <x v="1"/>
    <x v="0"/>
    <x v="1"/>
    <x v="124"/>
    <x v="125"/>
    <x v="0"/>
    <x v="2"/>
    <x v="127"/>
  </r>
  <r>
    <n v="130"/>
    <x v="61"/>
    <x v="0"/>
    <x v="0"/>
    <x v="54"/>
    <x v="1"/>
    <x v="0"/>
    <x v="60"/>
    <x v="2"/>
    <x v="0"/>
    <x v="1"/>
    <x v="1"/>
    <x v="1"/>
    <x v="0"/>
    <x v="5"/>
    <x v="125"/>
    <x v="126"/>
    <x v="1"/>
    <x v="0"/>
    <x v="128"/>
  </r>
  <r>
    <n v="131"/>
    <x v="62"/>
    <x v="3"/>
    <x v="11"/>
    <x v="60"/>
    <x v="0"/>
    <x v="2"/>
    <x v="61"/>
    <x v="1"/>
    <x v="0"/>
    <x v="38"/>
    <x v="24"/>
    <x v="3"/>
    <x v="2"/>
    <x v="7"/>
    <x v="126"/>
    <x v="127"/>
    <x v="2"/>
    <x v="10"/>
    <x v="129"/>
  </r>
  <r>
    <n v="132"/>
    <x v="62"/>
    <x v="3"/>
    <x v="11"/>
    <x v="60"/>
    <x v="0"/>
    <x v="2"/>
    <x v="61"/>
    <x v="1"/>
    <x v="0"/>
    <x v="38"/>
    <x v="24"/>
    <x v="3"/>
    <x v="1"/>
    <x v="10"/>
    <x v="127"/>
    <x v="128"/>
    <x v="0"/>
    <x v="2"/>
    <x v="130"/>
  </r>
  <r>
    <n v="133"/>
    <x v="62"/>
    <x v="3"/>
    <x v="11"/>
    <x v="60"/>
    <x v="0"/>
    <x v="2"/>
    <x v="61"/>
    <x v="1"/>
    <x v="0"/>
    <x v="38"/>
    <x v="24"/>
    <x v="3"/>
    <x v="1"/>
    <x v="13"/>
    <x v="33"/>
    <x v="129"/>
    <x v="6"/>
    <x v="2"/>
    <x v="131"/>
  </r>
  <r>
    <n v="134"/>
    <x v="63"/>
    <x v="0"/>
    <x v="2"/>
    <x v="61"/>
    <x v="5"/>
    <x v="1"/>
    <x v="62"/>
    <x v="0"/>
    <x v="0"/>
    <x v="43"/>
    <x v="1"/>
    <x v="1"/>
    <x v="1"/>
    <x v="10"/>
    <x v="128"/>
    <x v="130"/>
    <x v="1"/>
    <x v="0"/>
    <x v="132"/>
  </r>
  <r>
    <n v="135"/>
    <x v="63"/>
    <x v="0"/>
    <x v="2"/>
    <x v="61"/>
    <x v="5"/>
    <x v="1"/>
    <x v="62"/>
    <x v="0"/>
    <x v="0"/>
    <x v="43"/>
    <x v="1"/>
    <x v="1"/>
    <x v="1"/>
    <x v="10"/>
    <x v="129"/>
    <x v="131"/>
    <x v="7"/>
    <x v="0"/>
    <x v="133"/>
  </r>
  <r>
    <n v="136"/>
    <x v="63"/>
    <x v="0"/>
    <x v="2"/>
    <x v="61"/>
    <x v="5"/>
    <x v="1"/>
    <x v="62"/>
    <x v="0"/>
    <x v="0"/>
    <x v="43"/>
    <x v="1"/>
    <x v="1"/>
    <x v="1"/>
    <x v="6"/>
    <x v="130"/>
    <x v="132"/>
    <x v="4"/>
    <x v="0"/>
    <x v="134"/>
  </r>
  <r>
    <n v="137"/>
    <x v="63"/>
    <x v="0"/>
    <x v="2"/>
    <x v="61"/>
    <x v="5"/>
    <x v="1"/>
    <x v="62"/>
    <x v="0"/>
    <x v="0"/>
    <x v="43"/>
    <x v="1"/>
    <x v="1"/>
    <x v="1"/>
    <x v="13"/>
    <x v="131"/>
    <x v="133"/>
    <x v="0"/>
    <x v="0"/>
    <x v="135"/>
  </r>
  <r>
    <n v="138"/>
    <x v="63"/>
    <x v="0"/>
    <x v="2"/>
    <x v="61"/>
    <x v="5"/>
    <x v="1"/>
    <x v="62"/>
    <x v="0"/>
    <x v="0"/>
    <x v="43"/>
    <x v="1"/>
    <x v="1"/>
    <x v="1"/>
    <x v="8"/>
    <x v="132"/>
    <x v="134"/>
    <x v="1"/>
    <x v="2"/>
    <x v="136"/>
  </r>
  <r>
    <n v="139"/>
    <x v="63"/>
    <x v="0"/>
    <x v="2"/>
    <x v="61"/>
    <x v="5"/>
    <x v="1"/>
    <x v="62"/>
    <x v="0"/>
    <x v="0"/>
    <x v="43"/>
    <x v="1"/>
    <x v="1"/>
    <x v="1"/>
    <x v="14"/>
    <x v="133"/>
    <x v="135"/>
    <x v="5"/>
    <x v="0"/>
    <x v="137"/>
  </r>
  <r>
    <n v="140"/>
    <x v="63"/>
    <x v="0"/>
    <x v="2"/>
    <x v="61"/>
    <x v="5"/>
    <x v="1"/>
    <x v="62"/>
    <x v="0"/>
    <x v="0"/>
    <x v="43"/>
    <x v="1"/>
    <x v="1"/>
    <x v="0"/>
    <x v="5"/>
    <x v="50"/>
    <x v="136"/>
    <x v="9"/>
    <x v="0"/>
    <x v="138"/>
  </r>
  <r>
    <n v="141"/>
    <x v="64"/>
    <x v="0"/>
    <x v="8"/>
    <x v="62"/>
    <x v="4"/>
    <x v="0"/>
    <x v="63"/>
    <x v="1"/>
    <x v="0"/>
    <x v="10"/>
    <x v="9"/>
    <x v="3"/>
    <x v="0"/>
    <x v="5"/>
    <x v="28"/>
    <x v="137"/>
    <x v="0"/>
    <x v="2"/>
    <x v="139"/>
  </r>
  <r>
    <n v="142"/>
    <x v="65"/>
    <x v="3"/>
    <x v="8"/>
    <x v="19"/>
    <x v="3"/>
    <x v="1"/>
    <x v="64"/>
    <x v="1"/>
    <x v="0"/>
    <x v="8"/>
    <x v="1"/>
    <x v="1"/>
    <x v="1"/>
    <x v="6"/>
    <x v="134"/>
    <x v="138"/>
    <x v="1"/>
    <x v="0"/>
    <x v="140"/>
  </r>
  <r>
    <n v="143"/>
    <x v="65"/>
    <x v="3"/>
    <x v="8"/>
    <x v="19"/>
    <x v="3"/>
    <x v="1"/>
    <x v="64"/>
    <x v="1"/>
    <x v="0"/>
    <x v="8"/>
    <x v="1"/>
    <x v="1"/>
    <x v="1"/>
    <x v="12"/>
    <x v="135"/>
    <x v="139"/>
    <x v="1"/>
    <x v="0"/>
    <x v="141"/>
  </r>
  <r>
    <n v="144"/>
    <x v="65"/>
    <x v="3"/>
    <x v="8"/>
    <x v="19"/>
    <x v="3"/>
    <x v="1"/>
    <x v="64"/>
    <x v="1"/>
    <x v="0"/>
    <x v="8"/>
    <x v="1"/>
    <x v="1"/>
    <x v="1"/>
    <x v="10"/>
    <x v="136"/>
    <x v="140"/>
    <x v="1"/>
    <x v="0"/>
    <x v="142"/>
  </r>
  <r>
    <n v="145"/>
    <x v="66"/>
    <x v="3"/>
    <x v="4"/>
    <x v="63"/>
    <x v="3"/>
    <x v="1"/>
    <x v="65"/>
    <x v="0"/>
    <x v="0"/>
    <x v="44"/>
    <x v="25"/>
    <x v="2"/>
    <x v="1"/>
    <x v="9"/>
    <x v="137"/>
    <x v="141"/>
    <x v="1"/>
    <x v="0"/>
    <x v="143"/>
  </r>
  <r>
    <n v="146"/>
    <x v="67"/>
    <x v="1"/>
    <x v="8"/>
    <x v="64"/>
    <x v="3"/>
    <x v="1"/>
    <x v="66"/>
    <x v="0"/>
    <x v="0"/>
    <x v="45"/>
    <x v="1"/>
    <x v="1"/>
    <x v="1"/>
    <x v="4"/>
    <x v="82"/>
    <x v="142"/>
    <x v="3"/>
    <x v="0"/>
    <x v="144"/>
  </r>
  <r>
    <n v="147"/>
    <x v="68"/>
    <x v="2"/>
    <x v="2"/>
    <x v="65"/>
    <x v="5"/>
    <x v="1"/>
    <x v="67"/>
    <x v="2"/>
    <x v="0"/>
    <x v="46"/>
    <x v="24"/>
    <x v="3"/>
    <x v="0"/>
    <x v="5"/>
    <x v="138"/>
    <x v="143"/>
    <x v="4"/>
    <x v="2"/>
    <x v="145"/>
  </r>
  <r>
    <n v="148"/>
    <x v="5"/>
    <x v="0"/>
    <x v="4"/>
    <x v="66"/>
    <x v="1"/>
    <x v="1"/>
    <x v="68"/>
    <x v="1"/>
    <x v="0"/>
    <x v="47"/>
    <x v="6"/>
    <x v="2"/>
    <x v="2"/>
    <x v="7"/>
    <x v="139"/>
    <x v="144"/>
    <x v="10"/>
    <x v="0"/>
    <x v="146"/>
  </r>
  <r>
    <n v="149"/>
    <x v="5"/>
    <x v="0"/>
    <x v="4"/>
    <x v="66"/>
    <x v="1"/>
    <x v="1"/>
    <x v="68"/>
    <x v="1"/>
    <x v="0"/>
    <x v="47"/>
    <x v="6"/>
    <x v="2"/>
    <x v="2"/>
    <x v="7"/>
    <x v="140"/>
    <x v="145"/>
    <x v="1"/>
    <x v="0"/>
    <x v="147"/>
  </r>
  <r>
    <n v="150"/>
    <x v="5"/>
    <x v="0"/>
    <x v="4"/>
    <x v="66"/>
    <x v="1"/>
    <x v="1"/>
    <x v="68"/>
    <x v="1"/>
    <x v="0"/>
    <x v="47"/>
    <x v="6"/>
    <x v="2"/>
    <x v="0"/>
    <x v="1"/>
    <x v="1"/>
    <x v="146"/>
    <x v="8"/>
    <x v="0"/>
    <x v="148"/>
  </r>
  <r>
    <n v="151"/>
    <x v="5"/>
    <x v="0"/>
    <x v="4"/>
    <x v="66"/>
    <x v="1"/>
    <x v="1"/>
    <x v="68"/>
    <x v="1"/>
    <x v="0"/>
    <x v="47"/>
    <x v="6"/>
    <x v="2"/>
    <x v="1"/>
    <x v="8"/>
    <x v="141"/>
    <x v="147"/>
    <x v="2"/>
    <x v="0"/>
    <x v="149"/>
  </r>
  <r>
    <n v="152"/>
    <x v="69"/>
    <x v="0"/>
    <x v="10"/>
    <x v="67"/>
    <x v="0"/>
    <x v="2"/>
    <x v="69"/>
    <x v="2"/>
    <x v="0"/>
    <x v="48"/>
    <x v="16"/>
    <x v="1"/>
    <x v="1"/>
    <x v="9"/>
    <x v="142"/>
    <x v="148"/>
    <x v="2"/>
    <x v="2"/>
    <x v="150"/>
  </r>
  <r>
    <n v="153"/>
    <x v="69"/>
    <x v="0"/>
    <x v="10"/>
    <x v="67"/>
    <x v="0"/>
    <x v="2"/>
    <x v="69"/>
    <x v="2"/>
    <x v="0"/>
    <x v="48"/>
    <x v="16"/>
    <x v="1"/>
    <x v="2"/>
    <x v="7"/>
    <x v="143"/>
    <x v="149"/>
    <x v="0"/>
    <x v="2"/>
    <x v="151"/>
  </r>
  <r>
    <n v="154"/>
    <x v="70"/>
    <x v="1"/>
    <x v="5"/>
    <x v="68"/>
    <x v="4"/>
    <x v="2"/>
    <x v="70"/>
    <x v="1"/>
    <x v="0"/>
    <x v="49"/>
    <x v="1"/>
    <x v="1"/>
    <x v="1"/>
    <x v="10"/>
    <x v="144"/>
    <x v="150"/>
    <x v="3"/>
    <x v="0"/>
    <x v="152"/>
  </r>
  <r>
    <n v="155"/>
    <x v="70"/>
    <x v="1"/>
    <x v="5"/>
    <x v="68"/>
    <x v="4"/>
    <x v="2"/>
    <x v="70"/>
    <x v="1"/>
    <x v="0"/>
    <x v="49"/>
    <x v="1"/>
    <x v="1"/>
    <x v="1"/>
    <x v="10"/>
    <x v="145"/>
    <x v="151"/>
    <x v="4"/>
    <x v="0"/>
    <x v="153"/>
  </r>
  <r>
    <n v="156"/>
    <x v="70"/>
    <x v="1"/>
    <x v="5"/>
    <x v="68"/>
    <x v="4"/>
    <x v="2"/>
    <x v="70"/>
    <x v="1"/>
    <x v="0"/>
    <x v="49"/>
    <x v="1"/>
    <x v="1"/>
    <x v="1"/>
    <x v="4"/>
    <x v="146"/>
    <x v="152"/>
    <x v="5"/>
    <x v="0"/>
    <x v="154"/>
  </r>
  <r>
    <n v="157"/>
    <x v="71"/>
    <x v="1"/>
    <x v="5"/>
    <x v="69"/>
    <x v="5"/>
    <x v="1"/>
    <x v="71"/>
    <x v="2"/>
    <x v="0"/>
    <x v="4"/>
    <x v="4"/>
    <x v="1"/>
    <x v="1"/>
    <x v="6"/>
    <x v="147"/>
    <x v="153"/>
    <x v="1"/>
    <x v="0"/>
    <x v="155"/>
  </r>
  <r>
    <n v="158"/>
    <x v="72"/>
    <x v="2"/>
    <x v="10"/>
    <x v="70"/>
    <x v="3"/>
    <x v="0"/>
    <x v="72"/>
    <x v="0"/>
    <x v="0"/>
    <x v="4"/>
    <x v="4"/>
    <x v="1"/>
    <x v="0"/>
    <x v="1"/>
    <x v="120"/>
    <x v="154"/>
    <x v="0"/>
    <x v="2"/>
    <x v="156"/>
  </r>
  <r>
    <n v="159"/>
    <x v="73"/>
    <x v="0"/>
    <x v="0"/>
    <x v="71"/>
    <x v="1"/>
    <x v="1"/>
    <x v="73"/>
    <x v="0"/>
    <x v="0"/>
    <x v="50"/>
    <x v="26"/>
    <x v="2"/>
    <x v="1"/>
    <x v="2"/>
    <x v="148"/>
    <x v="2"/>
    <x v="0"/>
    <x v="0"/>
    <x v="2"/>
  </r>
  <r>
    <n v="160"/>
    <x v="73"/>
    <x v="0"/>
    <x v="0"/>
    <x v="71"/>
    <x v="1"/>
    <x v="1"/>
    <x v="73"/>
    <x v="0"/>
    <x v="0"/>
    <x v="50"/>
    <x v="26"/>
    <x v="2"/>
    <x v="2"/>
    <x v="7"/>
    <x v="149"/>
    <x v="155"/>
    <x v="3"/>
    <x v="0"/>
    <x v="157"/>
  </r>
  <r>
    <n v="161"/>
    <x v="74"/>
    <x v="0"/>
    <x v="5"/>
    <x v="72"/>
    <x v="6"/>
    <x v="2"/>
    <x v="74"/>
    <x v="0"/>
    <x v="0"/>
    <x v="1"/>
    <x v="1"/>
    <x v="1"/>
    <x v="1"/>
    <x v="10"/>
    <x v="150"/>
    <x v="156"/>
    <x v="7"/>
    <x v="0"/>
    <x v="158"/>
  </r>
  <r>
    <n v="162"/>
    <x v="75"/>
    <x v="1"/>
    <x v="4"/>
    <x v="16"/>
    <x v="0"/>
    <x v="0"/>
    <x v="75"/>
    <x v="0"/>
    <x v="0"/>
    <x v="10"/>
    <x v="9"/>
    <x v="3"/>
    <x v="2"/>
    <x v="11"/>
    <x v="151"/>
    <x v="157"/>
    <x v="0"/>
    <x v="2"/>
    <x v="159"/>
  </r>
  <r>
    <n v="163"/>
    <x v="76"/>
    <x v="0"/>
    <x v="0"/>
    <x v="73"/>
    <x v="1"/>
    <x v="1"/>
    <x v="76"/>
    <x v="0"/>
    <x v="0"/>
    <x v="51"/>
    <x v="27"/>
    <x v="1"/>
    <x v="1"/>
    <x v="12"/>
    <x v="33"/>
    <x v="158"/>
    <x v="2"/>
    <x v="0"/>
    <x v="160"/>
  </r>
  <r>
    <n v="164"/>
    <x v="77"/>
    <x v="0"/>
    <x v="0"/>
    <x v="0"/>
    <x v="1"/>
    <x v="1"/>
    <x v="77"/>
    <x v="0"/>
    <x v="0"/>
    <x v="4"/>
    <x v="4"/>
    <x v="1"/>
    <x v="1"/>
    <x v="8"/>
    <x v="152"/>
    <x v="159"/>
    <x v="0"/>
    <x v="2"/>
    <x v="161"/>
  </r>
  <r>
    <n v="165"/>
    <x v="78"/>
    <x v="2"/>
    <x v="8"/>
    <x v="74"/>
    <x v="1"/>
    <x v="1"/>
    <x v="78"/>
    <x v="0"/>
    <x v="0"/>
    <x v="52"/>
    <x v="5"/>
    <x v="2"/>
    <x v="1"/>
    <x v="6"/>
    <x v="153"/>
    <x v="160"/>
    <x v="1"/>
    <x v="2"/>
    <x v="162"/>
  </r>
  <r>
    <n v="166"/>
    <x v="78"/>
    <x v="2"/>
    <x v="8"/>
    <x v="74"/>
    <x v="1"/>
    <x v="1"/>
    <x v="78"/>
    <x v="0"/>
    <x v="0"/>
    <x v="52"/>
    <x v="5"/>
    <x v="2"/>
    <x v="2"/>
    <x v="15"/>
    <x v="154"/>
    <x v="161"/>
    <x v="8"/>
    <x v="10"/>
    <x v="163"/>
  </r>
  <r>
    <n v="167"/>
    <x v="78"/>
    <x v="2"/>
    <x v="8"/>
    <x v="74"/>
    <x v="1"/>
    <x v="1"/>
    <x v="78"/>
    <x v="0"/>
    <x v="0"/>
    <x v="52"/>
    <x v="5"/>
    <x v="2"/>
    <x v="1"/>
    <x v="4"/>
    <x v="155"/>
    <x v="162"/>
    <x v="1"/>
    <x v="2"/>
    <x v="164"/>
  </r>
  <r>
    <n v="168"/>
    <x v="78"/>
    <x v="2"/>
    <x v="8"/>
    <x v="74"/>
    <x v="1"/>
    <x v="1"/>
    <x v="78"/>
    <x v="0"/>
    <x v="0"/>
    <x v="52"/>
    <x v="5"/>
    <x v="2"/>
    <x v="0"/>
    <x v="1"/>
    <x v="156"/>
    <x v="163"/>
    <x v="6"/>
    <x v="4"/>
    <x v="165"/>
  </r>
  <r>
    <n v="169"/>
    <x v="78"/>
    <x v="2"/>
    <x v="8"/>
    <x v="74"/>
    <x v="1"/>
    <x v="1"/>
    <x v="78"/>
    <x v="0"/>
    <x v="0"/>
    <x v="52"/>
    <x v="5"/>
    <x v="2"/>
    <x v="1"/>
    <x v="6"/>
    <x v="157"/>
    <x v="164"/>
    <x v="5"/>
    <x v="2"/>
    <x v="166"/>
  </r>
  <r>
    <n v="170"/>
    <x v="78"/>
    <x v="2"/>
    <x v="8"/>
    <x v="74"/>
    <x v="1"/>
    <x v="1"/>
    <x v="78"/>
    <x v="0"/>
    <x v="0"/>
    <x v="52"/>
    <x v="5"/>
    <x v="2"/>
    <x v="1"/>
    <x v="9"/>
    <x v="158"/>
    <x v="165"/>
    <x v="2"/>
    <x v="3"/>
    <x v="167"/>
  </r>
  <r>
    <n v="171"/>
    <x v="78"/>
    <x v="2"/>
    <x v="8"/>
    <x v="74"/>
    <x v="1"/>
    <x v="1"/>
    <x v="78"/>
    <x v="0"/>
    <x v="0"/>
    <x v="52"/>
    <x v="5"/>
    <x v="2"/>
    <x v="2"/>
    <x v="7"/>
    <x v="159"/>
    <x v="166"/>
    <x v="1"/>
    <x v="2"/>
    <x v="168"/>
  </r>
  <r>
    <n v="172"/>
    <x v="79"/>
    <x v="2"/>
    <x v="6"/>
    <x v="75"/>
    <x v="1"/>
    <x v="1"/>
    <x v="79"/>
    <x v="0"/>
    <x v="0"/>
    <x v="1"/>
    <x v="1"/>
    <x v="1"/>
    <x v="1"/>
    <x v="10"/>
    <x v="160"/>
    <x v="167"/>
    <x v="1"/>
    <x v="0"/>
    <x v="169"/>
  </r>
  <r>
    <n v="173"/>
    <x v="79"/>
    <x v="2"/>
    <x v="6"/>
    <x v="75"/>
    <x v="1"/>
    <x v="1"/>
    <x v="79"/>
    <x v="0"/>
    <x v="0"/>
    <x v="1"/>
    <x v="1"/>
    <x v="1"/>
    <x v="1"/>
    <x v="10"/>
    <x v="161"/>
    <x v="168"/>
    <x v="0"/>
    <x v="0"/>
    <x v="170"/>
  </r>
  <r>
    <n v="174"/>
    <x v="79"/>
    <x v="2"/>
    <x v="6"/>
    <x v="75"/>
    <x v="1"/>
    <x v="1"/>
    <x v="79"/>
    <x v="0"/>
    <x v="0"/>
    <x v="1"/>
    <x v="1"/>
    <x v="1"/>
    <x v="0"/>
    <x v="1"/>
    <x v="162"/>
    <x v="169"/>
    <x v="3"/>
    <x v="2"/>
    <x v="171"/>
  </r>
  <r>
    <n v="175"/>
    <x v="80"/>
    <x v="2"/>
    <x v="8"/>
    <x v="76"/>
    <x v="3"/>
    <x v="1"/>
    <x v="80"/>
    <x v="1"/>
    <x v="0"/>
    <x v="22"/>
    <x v="10"/>
    <x v="2"/>
    <x v="1"/>
    <x v="9"/>
    <x v="163"/>
    <x v="170"/>
    <x v="0"/>
    <x v="3"/>
    <x v="172"/>
  </r>
  <r>
    <n v="176"/>
    <x v="80"/>
    <x v="2"/>
    <x v="8"/>
    <x v="76"/>
    <x v="3"/>
    <x v="1"/>
    <x v="80"/>
    <x v="1"/>
    <x v="0"/>
    <x v="22"/>
    <x v="10"/>
    <x v="2"/>
    <x v="1"/>
    <x v="2"/>
    <x v="164"/>
    <x v="171"/>
    <x v="4"/>
    <x v="2"/>
    <x v="173"/>
  </r>
  <r>
    <n v="177"/>
    <x v="81"/>
    <x v="3"/>
    <x v="3"/>
    <x v="77"/>
    <x v="1"/>
    <x v="0"/>
    <x v="81"/>
    <x v="0"/>
    <x v="0"/>
    <x v="12"/>
    <x v="5"/>
    <x v="2"/>
    <x v="1"/>
    <x v="9"/>
    <x v="165"/>
    <x v="172"/>
    <x v="4"/>
    <x v="3"/>
    <x v="174"/>
  </r>
  <r>
    <n v="178"/>
    <x v="82"/>
    <x v="1"/>
    <x v="0"/>
    <x v="78"/>
    <x v="4"/>
    <x v="0"/>
    <x v="32"/>
    <x v="0"/>
    <x v="0"/>
    <x v="46"/>
    <x v="24"/>
    <x v="3"/>
    <x v="0"/>
    <x v="1"/>
    <x v="166"/>
    <x v="173"/>
    <x v="3"/>
    <x v="4"/>
    <x v="175"/>
  </r>
  <r>
    <n v="179"/>
    <x v="82"/>
    <x v="1"/>
    <x v="0"/>
    <x v="78"/>
    <x v="4"/>
    <x v="0"/>
    <x v="32"/>
    <x v="0"/>
    <x v="0"/>
    <x v="46"/>
    <x v="24"/>
    <x v="3"/>
    <x v="1"/>
    <x v="14"/>
    <x v="167"/>
    <x v="174"/>
    <x v="2"/>
    <x v="2"/>
    <x v="176"/>
  </r>
  <r>
    <n v="180"/>
    <x v="83"/>
    <x v="1"/>
    <x v="4"/>
    <x v="79"/>
    <x v="1"/>
    <x v="1"/>
    <x v="82"/>
    <x v="2"/>
    <x v="0"/>
    <x v="20"/>
    <x v="15"/>
    <x v="3"/>
    <x v="1"/>
    <x v="6"/>
    <x v="168"/>
    <x v="175"/>
    <x v="7"/>
    <x v="0"/>
    <x v="177"/>
  </r>
  <r>
    <n v="181"/>
    <x v="29"/>
    <x v="2"/>
    <x v="4"/>
    <x v="80"/>
    <x v="1"/>
    <x v="0"/>
    <x v="83"/>
    <x v="1"/>
    <x v="0"/>
    <x v="27"/>
    <x v="10"/>
    <x v="2"/>
    <x v="1"/>
    <x v="4"/>
    <x v="169"/>
    <x v="176"/>
    <x v="0"/>
    <x v="2"/>
    <x v="178"/>
  </r>
  <r>
    <n v="182"/>
    <x v="29"/>
    <x v="2"/>
    <x v="4"/>
    <x v="80"/>
    <x v="1"/>
    <x v="0"/>
    <x v="83"/>
    <x v="1"/>
    <x v="0"/>
    <x v="27"/>
    <x v="10"/>
    <x v="2"/>
    <x v="2"/>
    <x v="11"/>
    <x v="170"/>
    <x v="177"/>
    <x v="3"/>
    <x v="2"/>
    <x v="179"/>
  </r>
  <r>
    <n v="183"/>
    <x v="84"/>
    <x v="2"/>
    <x v="0"/>
    <x v="81"/>
    <x v="3"/>
    <x v="0"/>
    <x v="84"/>
    <x v="2"/>
    <x v="0"/>
    <x v="53"/>
    <x v="28"/>
    <x v="0"/>
    <x v="2"/>
    <x v="7"/>
    <x v="171"/>
    <x v="178"/>
    <x v="4"/>
    <x v="0"/>
    <x v="180"/>
  </r>
  <r>
    <n v="184"/>
    <x v="84"/>
    <x v="2"/>
    <x v="0"/>
    <x v="81"/>
    <x v="3"/>
    <x v="0"/>
    <x v="84"/>
    <x v="2"/>
    <x v="0"/>
    <x v="53"/>
    <x v="28"/>
    <x v="0"/>
    <x v="2"/>
    <x v="7"/>
    <x v="172"/>
    <x v="179"/>
    <x v="2"/>
    <x v="0"/>
    <x v="181"/>
  </r>
  <r>
    <n v="185"/>
    <x v="84"/>
    <x v="2"/>
    <x v="0"/>
    <x v="81"/>
    <x v="3"/>
    <x v="0"/>
    <x v="84"/>
    <x v="2"/>
    <x v="0"/>
    <x v="53"/>
    <x v="28"/>
    <x v="0"/>
    <x v="2"/>
    <x v="11"/>
    <x v="173"/>
    <x v="180"/>
    <x v="0"/>
    <x v="0"/>
    <x v="182"/>
  </r>
  <r>
    <n v="186"/>
    <x v="85"/>
    <x v="0"/>
    <x v="0"/>
    <x v="82"/>
    <x v="1"/>
    <x v="1"/>
    <x v="85"/>
    <x v="0"/>
    <x v="0"/>
    <x v="54"/>
    <x v="29"/>
    <x v="3"/>
    <x v="1"/>
    <x v="8"/>
    <x v="174"/>
    <x v="181"/>
    <x v="0"/>
    <x v="0"/>
    <x v="183"/>
  </r>
  <r>
    <n v="187"/>
    <x v="86"/>
    <x v="2"/>
    <x v="6"/>
    <x v="83"/>
    <x v="1"/>
    <x v="1"/>
    <x v="86"/>
    <x v="2"/>
    <x v="0"/>
    <x v="1"/>
    <x v="1"/>
    <x v="1"/>
    <x v="2"/>
    <x v="11"/>
    <x v="175"/>
    <x v="182"/>
    <x v="8"/>
    <x v="0"/>
    <x v="184"/>
  </r>
  <r>
    <n v="188"/>
    <x v="87"/>
    <x v="0"/>
    <x v="7"/>
    <x v="18"/>
    <x v="5"/>
    <x v="1"/>
    <x v="87"/>
    <x v="1"/>
    <x v="0"/>
    <x v="55"/>
    <x v="5"/>
    <x v="2"/>
    <x v="1"/>
    <x v="4"/>
    <x v="176"/>
    <x v="183"/>
    <x v="1"/>
    <x v="2"/>
    <x v="185"/>
  </r>
  <r>
    <n v="189"/>
    <x v="87"/>
    <x v="0"/>
    <x v="7"/>
    <x v="18"/>
    <x v="5"/>
    <x v="1"/>
    <x v="87"/>
    <x v="1"/>
    <x v="0"/>
    <x v="55"/>
    <x v="5"/>
    <x v="2"/>
    <x v="1"/>
    <x v="10"/>
    <x v="144"/>
    <x v="184"/>
    <x v="1"/>
    <x v="2"/>
    <x v="186"/>
  </r>
  <r>
    <n v="190"/>
    <x v="88"/>
    <x v="1"/>
    <x v="2"/>
    <x v="84"/>
    <x v="4"/>
    <x v="2"/>
    <x v="88"/>
    <x v="2"/>
    <x v="0"/>
    <x v="20"/>
    <x v="15"/>
    <x v="3"/>
    <x v="0"/>
    <x v="0"/>
    <x v="177"/>
    <x v="185"/>
    <x v="4"/>
    <x v="2"/>
    <x v="187"/>
  </r>
  <r>
    <n v="191"/>
    <x v="88"/>
    <x v="1"/>
    <x v="2"/>
    <x v="84"/>
    <x v="4"/>
    <x v="2"/>
    <x v="88"/>
    <x v="2"/>
    <x v="0"/>
    <x v="20"/>
    <x v="15"/>
    <x v="3"/>
    <x v="2"/>
    <x v="7"/>
    <x v="178"/>
    <x v="186"/>
    <x v="5"/>
    <x v="0"/>
    <x v="188"/>
  </r>
  <r>
    <n v="192"/>
    <x v="88"/>
    <x v="1"/>
    <x v="2"/>
    <x v="84"/>
    <x v="4"/>
    <x v="2"/>
    <x v="88"/>
    <x v="2"/>
    <x v="0"/>
    <x v="20"/>
    <x v="15"/>
    <x v="3"/>
    <x v="1"/>
    <x v="10"/>
    <x v="179"/>
    <x v="187"/>
    <x v="8"/>
    <x v="0"/>
    <x v="189"/>
  </r>
  <r>
    <n v="193"/>
    <x v="88"/>
    <x v="1"/>
    <x v="2"/>
    <x v="84"/>
    <x v="4"/>
    <x v="2"/>
    <x v="88"/>
    <x v="2"/>
    <x v="0"/>
    <x v="20"/>
    <x v="15"/>
    <x v="3"/>
    <x v="0"/>
    <x v="0"/>
    <x v="37"/>
    <x v="188"/>
    <x v="1"/>
    <x v="2"/>
    <x v="190"/>
  </r>
  <r>
    <n v="194"/>
    <x v="88"/>
    <x v="1"/>
    <x v="2"/>
    <x v="84"/>
    <x v="4"/>
    <x v="2"/>
    <x v="88"/>
    <x v="2"/>
    <x v="0"/>
    <x v="20"/>
    <x v="15"/>
    <x v="3"/>
    <x v="1"/>
    <x v="6"/>
    <x v="180"/>
    <x v="189"/>
    <x v="2"/>
    <x v="0"/>
    <x v="191"/>
  </r>
  <r>
    <n v="195"/>
    <x v="89"/>
    <x v="1"/>
    <x v="2"/>
    <x v="85"/>
    <x v="5"/>
    <x v="1"/>
    <x v="89"/>
    <x v="1"/>
    <x v="0"/>
    <x v="56"/>
    <x v="1"/>
    <x v="1"/>
    <x v="1"/>
    <x v="12"/>
    <x v="29"/>
    <x v="190"/>
    <x v="3"/>
    <x v="0"/>
    <x v="192"/>
  </r>
  <r>
    <n v="196"/>
    <x v="90"/>
    <x v="2"/>
    <x v="10"/>
    <x v="86"/>
    <x v="1"/>
    <x v="1"/>
    <x v="90"/>
    <x v="0"/>
    <x v="0"/>
    <x v="57"/>
    <x v="24"/>
    <x v="3"/>
    <x v="1"/>
    <x v="6"/>
    <x v="181"/>
    <x v="191"/>
    <x v="0"/>
    <x v="2"/>
    <x v="193"/>
  </r>
  <r>
    <n v="197"/>
    <x v="90"/>
    <x v="2"/>
    <x v="10"/>
    <x v="86"/>
    <x v="1"/>
    <x v="1"/>
    <x v="90"/>
    <x v="0"/>
    <x v="0"/>
    <x v="57"/>
    <x v="24"/>
    <x v="3"/>
    <x v="1"/>
    <x v="6"/>
    <x v="182"/>
    <x v="192"/>
    <x v="1"/>
    <x v="2"/>
    <x v="194"/>
  </r>
  <r>
    <n v="198"/>
    <x v="44"/>
    <x v="3"/>
    <x v="0"/>
    <x v="87"/>
    <x v="2"/>
    <x v="1"/>
    <x v="91"/>
    <x v="2"/>
    <x v="0"/>
    <x v="58"/>
    <x v="30"/>
    <x v="3"/>
    <x v="1"/>
    <x v="4"/>
    <x v="183"/>
    <x v="193"/>
    <x v="1"/>
    <x v="0"/>
    <x v="195"/>
  </r>
  <r>
    <n v="199"/>
    <x v="91"/>
    <x v="3"/>
    <x v="7"/>
    <x v="88"/>
    <x v="2"/>
    <x v="1"/>
    <x v="92"/>
    <x v="1"/>
    <x v="0"/>
    <x v="10"/>
    <x v="9"/>
    <x v="3"/>
    <x v="1"/>
    <x v="8"/>
    <x v="184"/>
    <x v="194"/>
    <x v="0"/>
    <x v="6"/>
    <x v="196"/>
  </r>
  <r>
    <n v="200"/>
    <x v="91"/>
    <x v="3"/>
    <x v="7"/>
    <x v="88"/>
    <x v="2"/>
    <x v="1"/>
    <x v="92"/>
    <x v="1"/>
    <x v="0"/>
    <x v="10"/>
    <x v="9"/>
    <x v="3"/>
    <x v="1"/>
    <x v="10"/>
    <x v="185"/>
    <x v="195"/>
    <x v="1"/>
    <x v="2"/>
    <x v="197"/>
  </r>
  <r>
    <n v="201"/>
    <x v="92"/>
    <x v="3"/>
    <x v="1"/>
    <x v="89"/>
    <x v="3"/>
    <x v="1"/>
    <x v="93"/>
    <x v="0"/>
    <x v="0"/>
    <x v="59"/>
    <x v="24"/>
    <x v="3"/>
    <x v="1"/>
    <x v="10"/>
    <x v="186"/>
    <x v="196"/>
    <x v="1"/>
    <x v="2"/>
    <x v="198"/>
  </r>
  <r>
    <n v="202"/>
    <x v="93"/>
    <x v="2"/>
    <x v="6"/>
    <x v="90"/>
    <x v="4"/>
    <x v="2"/>
    <x v="94"/>
    <x v="0"/>
    <x v="0"/>
    <x v="60"/>
    <x v="22"/>
    <x v="1"/>
    <x v="0"/>
    <x v="3"/>
    <x v="187"/>
    <x v="197"/>
    <x v="0"/>
    <x v="5"/>
    <x v="199"/>
  </r>
  <r>
    <n v="203"/>
    <x v="93"/>
    <x v="2"/>
    <x v="6"/>
    <x v="90"/>
    <x v="4"/>
    <x v="2"/>
    <x v="94"/>
    <x v="0"/>
    <x v="0"/>
    <x v="60"/>
    <x v="22"/>
    <x v="1"/>
    <x v="1"/>
    <x v="9"/>
    <x v="188"/>
    <x v="198"/>
    <x v="7"/>
    <x v="2"/>
    <x v="200"/>
  </r>
  <r>
    <n v="204"/>
    <x v="94"/>
    <x v="3"/>
    <x v="4"/>
    <x v="91"/>
    <x v="1"/>
    <x v="0"/>
    <x v="95"/>
    <x v="0"/>
    <x v="0"/>
    <x v="61"/>
    <x v="5"/>
    <x v="2"/>
    <x v="1"/>
    <x v="9"/>
    <x v="189"/>
    <x v="199"/>
    <x v="0"/>
    <x v="3"/>
    <x v="201"/>
  </r>
  <r>
    <n v="205"/>
    <x v="95"/>
    <x v="3"/>
    <x v="1"/>
    <x v="92"/>
    <x v="1"/>
    <x v="1"/>
    <x v="96"/>
    <x v="1"/>
    <x v="0"/>
    <x v="47"/>
    <x v="18"/>
    <x v="0"/>
    <x v="0"/>
    <x v="5"/>
    <x v="190"/>
    <x v="200"/>
    <x v="3"/>
    <x v="2"/>
    <x v="202"/>
  </r>
  <r>
    <n v="206"/>
    <x v="34"/>
    <x v="3"/>
    <x v="4"/>
    <x v="93"/>
    <x v="3"/>
    <x v="1"/>
    <x v="97"/>
    <x v="0"/>
    <x v="0"/>
    <x v="62"/>
    <x v="1"/>
    <x v="1"/>
    <x v="2"/>
    <x v="7"/>
    <x v="191"/>
    <x v="201"/>
    <x v="4"/>
    <x v="2"/>
    <x v="203"/>
  </r>
  <r>
    <n v="207"/>
    <x v="96"/>
    <x v="3"/>
    <x v="4"/>
    <x v="94"/>
    <x v="5"/>
    <x v="1"/>
    <x v="98"/>
    <x v="0"/>
    <x v="0"/>
    <x v="63"/>
    <x v="12"/>
    <x v="2"/>
    <x v="1"/>
    <x v="4"/>
    <x v="192"/>
    <x v="202"/>
    <x v="4"/>
    <x v="0"/>
    <x v="204"/>
  </r>
  <r>
    <n v="208"/>
    <x v="96"/>
    <x v="3"/>
    <x v="4"/>
    <x v="94"/>
    <x v="5"/>
    <x v="1"/>
    <x v="98"/>
    <x v="0"/>
    <x v="0"/>
    <x v="63"/>
    <x v="12"/>
    <x v="2"/>
    <x v="2"/>
    <x v="7"/>
    <x v="193"/>
    <x v="203"/>
    <x v="0"/>
    <x v="0"/>
    <x v="205"/>
  </r>
  <r>
    <n v="209"/>
    <x v="96"/>
    <x v="3"/>
    <x v="4"/>
    <x v="94"/>
    <x v="5"/>
    <x v="1"/>
    <x v="98"/>
    <x v="0"/>
    <x v="0"/>
    <x v="63"/>
    <x v="12"/>
    <x v="2"/>
    <x v="1"/>
    <x v="8"/>
    <x v="122"/>
    <x v="204"/>
    <x v="4"/>
    <x v="0"/>
    <x v="206"/>
  </r>
  <r>
    <n v="210"/>
    <x v="96"/>
    <x v="3"/>
    <x v="4"/>
    <x v="94"/>
    <x v="5"/>
    <x v="1"/>
    <x v="98"/>
    <x v="0"/>
    <x v="0"/>
    <x v="63"/>
    <x v="12"/>
    <x v="2"/>
    <x v="1"/>
    <x v="13"/>
    <x v="194"/>
    <x v="205"/>
    <x v="6"/>
    <x v="0"/>
    <x v="207"/>
  </r>
  <r>
    <n v="211"/>
    <x v="96"/>
    <x v="3"/>
    <x v="4"/>
    <x v="94"/>
    <x v="5"/>
    <x v="1"/>
    <x v="98"/>
    <x v="0"/>
    <x v="0"/>
    <x v="63"/>
    <x v="12"/>
    <x v="2"/>
    <x v="1"/>
    <x v="4"/>
    <x v="195"/>
    <x v="206"/>
    <x v="7"/>
    <x v="0"/>
    <x v="208"/>
  </r>
  <r>
    <n v="212"/>
    <x v="97"/>
    <x v="1"/>
    <x v="11"/>
    <x v="95"/>
    <x v="1"/>
    <x v="0"/>
    <x v="99"/>
    <x v="1"/>
    <x v="0"/>
    <x v="61"/>
    <x v="5"/>
    <x v="2"/>
    <x v="2"/>
    <x v="11"/>
    <x v="196"/>
    <x v="207"/>
    <x v="0"/>
    <x v="2"/>
    <x v="209"/>
  </r>
  <r>
    <n v="213"/>
    <x v="98"/>
    <x v="1"/>
    <x v="9"/>
    <x v="96"/>
    <x v="2"/>
    <x v="1"/>
    <x v="100"/>
    <x v="1"/>
    <x v="0"/>
    <x v="64"/>
    <x v="24"/>
    <x v="3"/>
    <x v="1"/>
    <x v="2"/>
    <x v="197"/>
    <x v="208"/>
    <x v="0"/>
    <x v="2"/>
    <x v="210"/>
  </r>
  <r>
    <n v="214"/>
    <x v="98"/>
    <x v="1"/>
    <x v="9"/>
    <x v="96"/>
    <x v="2"/>
    <x v="1"/>
    <x v="100"/>
    <x v="1"/>
    <x v="0"/>
    <x v="64"/>
    <x v="24"/>
    <x v="3"/>
    <x v="0"/>
    <x v="0"/>
    <x v="198"/>
    <x v="209"/>
    <x v="2"/>
    <x v="5"/>
    <x v="211"/>
  </r>
  <r>
    <n v="215"/>
    <x v="98"/>
    <x v="1"/>
    <x v="9"/>
    <x v="96"/>
    <x v="2"/>
    <x v="1"/>
    <x v="100"/>
    <x v="1"/>
    <x v="0"/>
    <x v="64"/>
    <x v="24"/>
    <x v="3"/>
    <x v="2"/>
    <x v="7"/>
    <x v="104"/>
    <x v="210"/>
    <x v="1"/>
    <x v="10"/>
    <x v="212"/>
  </r>
  <r>
    <n v="216"/>
    <x v="98"/>
    <x v="1"/>
    <x v="9"/>
    <x v="96"/>
    <x v="2"/>
    <x v="1"/>
    <x v="100"/>
    <x v="1"/>
    <x v="0"/>
    <x v="64"/>
    <x v="24"/>
    <x v="3"/>
    <x v="2"/>
    <x v="15"/>
    <x v="199"/>
    <x v="211"/>
    <x v="6"/>
    <x v="6"/>
    <x v="213"/>
  </r>
  <r>
    <n v="217"/>
    <x v="98"/>
    <x v="1"/>
    <x v="9"/>
    <x v="96"/>
    <x v="2"/>
    <x v="1"/>
    <x v="100"/>
    <x v="1"/>
    <x v="0"/>
    <x v="64"/>
    <x v="24"/>
    <x v="3"/>
    <x v="2"/>
    <x v="11"/>
    <x v="200"/>
    <x v="212"/>
    <x v="0"/>
    <x v="2"/>
    <x v="214"/>
  </r>
  <r>
    <n v="218"/>
    <x v="99"/>
    <x v="0"/>
    <x v="2"/>
    <x v="97"/>
    <x v="1"/>
    <x v="1"/>
    <x v="101"/>
    <x v="0"/>
    <x v="0"/>
    <x v="1"/>
    <x v="1"/>
    <x v="1"/>
    <x v="1"/>
    <x v="4"/>
    <x v="176"/>
    <x v="213"/>
    <x v="5"/>
    <x v="0"/>
    <x v="215"/>
  </r>
  <r>
    <n v="219"/>
    <x v="99"/>
    <x v="0"/>
    <x v="2"/>
    <x v="97"/>
    <x v="1"/>
    <x v="1"/>
    <x v="101"/>
    <x v="0"/>
    <x v="0"/>
    <x v="1"/>
    <x v="1"/>
    <x v="1"/>
    <x v="2"/>
    <x v="7"/>
    <x v="201"/>
    <x v="214"/>
    <x v="1"/>
    <x v="2"/>
    <x v="216"/>
  </r>
  <r>
    <n v="220"/>
    <x v="100"/>
    <x v="1"/>
    <x v="4"/>
    <x v="98"/>
    <x v="0"/>
    <x v="2"/>
    <x v="102"/>
    <x v="0"/>
    <x v="0"/>
    <x v="65"/>
    <x v="24"/>
    <x v="3"/>
    <x v="1"/>
    <x v="13"/>
    <x v="202"/>
    <x v="215"/>
    <x v="0"/>
    <x v="2"/>
    <x v="217"/>
  </r>
  <r>
    <n v="221"/>
    <x v="100"/>
    <x v="1"/>
    <x v="4"/>
    <x v="98"/>
    <x v="0"/>
    <x v="2"/>
    <x v="102"/>
    <x v="0"/>
    <x v="0"/>
    <x v="65"/>
    <x v="24"/>
    <x v="3"/>
    <x v="1"/>
    <x v="10"/>
    <x v="203"/>
    <x v="216"/>
    <x v="5"/>
    <x v="2"/>
    <x v="218"/>
  </r>
  <r>
    <n v="222"/>
    <x v="100"/>
    <x v="1"/>
    <x v="4"/>
    <x v="98"/>
    <x v="0"/>
    <x v="2"/>
    <x v="102"/>
    <x v="0"/>
    <x v="0"/>
    <x v="65"/>
    <x v="24"/>
    <x v="3"/>
    <x v="1"/>
    <x v="8"/>
    <x v="91"/>
    <x v="217"/>
    <x v="4"/>
    <x v="6"/>
    <x v="219"/>
  </r>
  <r>
    <n v="223"/>
    <x v="100"/>
    <x v="1"/>
    <x v="4"/>
    <x v="98"/>
    <x v="0"/>
    <x v="2"/>
    <x v="102"/>
    <x v="0"/>
    <x v="0"/>
    <x v="65"/>
    <x v="24"/>
    <x v="3"/>
    <x v="0"/>
    <x v="5"/>
    <x v="204"/>
    <x v="218"/>
    <x v="4"/>
    <x v="2"/>
    <x v="220"/>
  </r>
  <r>
    <n v="224"/>
    <x v="100"/>
    <x v="1"/>
    <x v="4"/>
    <x v="98"/>
    <x v="0"/>
    <x v="2"/>
    <x v="102"/>
    <x v="0"/>
    <x v="0"/>
    <x v="65"/>
    <x v="24"/>
    <x v="3"/>
    <x v="2"/>
    <x v="15"/>
    <x v="205"/>
    <x v="219"/>
    <x v="4"/>
    <x v="6"/>
    <x v="221"/>
  </r>
  <r>
    <n v="225"/>
    <x v="100"/>
    <x v="1"/>
    <x v="4"/>
    <x v="98"/>
    <x v="0"/>
    <x v="2"/>
    <x v="102"/>
    <x v="0"/>
    <x v="0"/>
    <x v="65"/>
    <x v="24"/>
    <x v="3"/>
    <x v="1"/>
    <x v="6"/>
    <x v="206"/>
    <x v="220"/>
    <x v="0"/>
    <x v="2"/>
    <x v="222"/>
  </r>
  <r>
    <n v="226"/>
    <x v="101"/>
    <x v="1"/>
    <x v="6"/>
    <x v="99"/>
    <x v="2"/>
    <x v="1"/>
    <x v="103"/>
    <x v="1"/>
    <x v="0"/>
    <x v="66"/>
    <x v="12"/>
    <x v="2"/>
    <x v="1"/>
    <x v="6"/>
    <x v="207"/>
    <x v="221"/>
    <x v="7"/>
    <x v="0"/>
    <x v="223"/>
  </r>
  <r>
    <n v="227"/>
    <x v="101"/>
    <x v="1"/>
    <x v="6"/>
    <x v="99"/>
    <x v="2"/>
    <x v="1"/>
    <x v="103"/>
    <x v="1"/>
    <x v="0"/>
    <x v="66"/>
    <x v="12"/>
    <x v="2"/>
    <x v="0"/>
    <x v="3"/>
    <x v="208"/>
    <x v="222"/>
    <x v="2"/>
    <x v="0"/>
    <x v="224"/>
  </r>
  <r>
    <n v="228"/>
    <x v="101"/>
    <x v="1"/>
    <x v="6"/>
    <x v="99"/>
    <x v="2"/>
    <x v="1"/>
    <x v="103"/>
    <x v="1"/>
    <x v="0"/>
    <x v="66"/>
    <x v="12"/>
    <x v="2"/>
    <x v="1"/>
    <x v="4"/>
    <x v="209"/>
    <x v="223"/>
    <x v="7"/>
    <x v="0"/>
    <x v="225"/>
  </r>
  <r>
    <n v="229"/>
    <x v="102"/>
    <x v="1"/>
    <x v="11"/>
    <x v="100"/>
    <x v="3"/>
    <x v="1"/>
    <x v="104"/>
    <x v="0"/>
    <x v="0"/>
    <x v="29"/>
    <x v="18"/>
    <x v="0"/>
    <x v="0"/>
    <x v="1"/>
    <x v="210"/>
    <x v="224"/>
    <x v="0"/>
    <x v="2"/>
    <x v="226"/>
  </r>
  <r>
    <n v="230"/>
    <x v="102"/>
    <x v="1"/>
    <x v="11"/>
    <x v="100"/>
    <x v="3"/>
    <x v="1"/>
    <x v="104"/>
    <x v="0"/>
    <x v="0"/>
    <x v="29"/>
    <x v="18"/>
    <x v="0"/>
    <x v="0"/>
    <x v="1"/>
    <x v="211"/>
    <x v="225"/>
    <x v="8"/>
    <x v="2"/>
    <x v="227"/>
  </r>
  <r>
    <n v="231"/>
    <x v="103"/>
    <x v="2"/>
    <x v="8"/>
    <x v="101"/>
    <x v="1"/>
    <x v="1"/>
    <x v="105"/>
    <x v="1"/>
    <x v="0"/>
    <x v="35"/>
    <x v="3"/>
    <x v="0"/>
    <x v="1"/>
    <x v="8"/>
    <x v="212"/>
    <x v="226"/>
    <x v="3"/>
    <x v="6"/>
    <x v="228"/>
  </r>
  <r>
    <n v="232"/>
    <x v="104"/>
    <x v="3"/>
    <x v="3"/>
    <x v="102"/>
    <x v="3"/>
    <x v="1"/>
    <x v="37"/>
    <x v="2"/>
    <x v="0"/>
    <x v="67"/>
    <x v="2"/>
    <x v="0"/>
    <x v="0"/>
    <x v="3"/>
    <x v="213"/>
    <x v="227"/>
    <x v="0"/>
    <x v="1"/>
    <x v="229"/>
  </r>
  <r>
    <n v="233"/>
    <x v="104"/>
    <x v="3"/>
    <x v="3"/>
    <x v="102"/>
    <x v="3"/>
    <x v="1"/>
    <x v="37"/>
    <x v="2"/>
    <x v="0"/>
    <x v="67"/>
    <x v="2"/>
    <x v="0"/>
    <x v="0"/>
    <x v="3"/>
    <x v="214"/>
    <x v="228"/>
    <x v="1"/>
    <x v="1"/>
    <x v="230"/>
  </r>
  <r>
    <n v="234"/>
    <x v="104"/>
    <x v="3"/>
    <x v="3"/>
    <x v="102"/>
    <x v="3"/>
    <x v="1"/>
    <x v="37"/>
    <x v="2"/>
    <x v="0"/>
    <x v="67"/>
    <x v="2"/>
    <x v="0"/>
    <x v="1"/>
    <x v="8"/>
    <x v="212"/>
    <x v="229"/>
    <x v="0"/>
    <x v="6"/>
    <x v="231"/>
  </r>
  <r>
    <n v="235"/>
    <x v="104"/>
    <x v="3"/>
    <x v="3"/>
    <x v="102"/>
    <x v="3"/>
    <x v="1"/>
    <x v="37"/>
    <x v="2"/>
    <x v="0"/>
    <x v="67"/>
    <x v="2"/>
    <x v="0"/>
    <x v="0"/>
    <x v="5"/>
    <x v="215"/>
    <x v="230"/>
    <x v="1"/>
    <x v="2"/>
    <x v="232"/>
  </r>
  <r>
    <n v="236"/>
    <x v="104"/>
    <x v="3"/>
    <x v="3"/>
    <x v="102"/>
    <x v="3"/>
    <x v="1"/>
    <x v="37"/>
    <x v="2"/>
    <x v="0"/>
    <x v="67"/>
    <x v="2"/>
    <x v="0"/>
    <x v="2"/>
    <x v="11"/>
    <x v="216"/>
    <x v="231"/>
    <x v="1"/>
    <x v="2"/>
    <x v="233"/>
  </r>
  <r>
    <n v="237"/>
    <x v="105"/>
    <x v="3"/>
    <x v="0"/>
    <x v="38"/>
    <x v="1"/>
    <x v="1"/>
    <x v="106"/>
    <x v="1"/>
    <x v="0"/>
    <x v="68"/>
    <x v="1"/>
    <x v="1"/>
    <x v="1"/>
    <x v="10"/>
    <x v="217"/>
    <x v="232"/>
    <x v="0"/>
    <x v="0"/>
    <x v="234"/>
  </r>
  <r>
    <n v="238"/>
    <x v="30"/>
    <x v="0"/>
    <x v="1"/>
    <x v="103"/>
    <x v="3"/>
    <x v="0"/>
    <x v="107"/>
    <x v="0"/>
    <x v="0"/>
    <x v="22"/>
    <x v="10"/>
    <x v="2"/>
    <x v="1"/>
    <x v="10"/>
    <x v="218"/>
    <x v="233"/>
    <x v="2"/>
    <x v="2"/>
    <x v="235"/>
  </r>
  <r>
    <n v="239"/>
    <x v="30"/>
    <x v="0"/>
    <x v="1"/>
    <x v="103"/>
    <x v="3"/>
    <x v="0"/>
    <x v="107"/>
    <x v="0"/>
    <x v="0"/>
    <x v="22"/>
    <x v="10"/>
    <x v="2"/>
    <x v="0"/>
    <x v="5"/>
    <x v="219"/>
    <x v="234"/>
    <x v="2"/>
    <x v="7"/>
    <x v="236"/>
  </r>
  <r>
    <n v="240"/>
    <x v="30"/>
    <x v="0"/>
    <x v="1"/>
    <x v="103"/>
    <x v="3"/>
    <x v="0"/>
    <x v="107"/>
    <x v="0"/>
    <x v="0"/>
    <x v="22"/>
    <x v="10"/>
    <x v="2"/>
    <x v="0"/>
    <x v="5"/>
    <x v="33"/>
    <x v="235"/>
    <x v="1"/>
    <x v="7"/>
    <x v="237"/>
  </r>
  <r>
    <n v="241"/>
    <x v="30"/>
    <x v="0"/>
    <x v="1"/>
    <x v="103"/>
    <x v="3"/>
    <x v="0"/>
    <x v="107"/>
    <x v="0"/>
    <x v="0"/>
    <x v="22"/>
    <x v="10"/>
    <x v="2"/>
    <x v="2"/>
    <x v="7"/>
    <x v="220"/>
    <x v="236"/>
    <x v="0"/>
    <x v="2"/>
    <x v="238"/>
  </r>
  <r>
    <n v="242"/>
    <x v="30"/>
    <x v="0"/>
    <x v="1"/>
    <x v="103"/>
    <x v="3"/>
    <x v="0"/>
    <x v="107"/>
    <x v="0"/>
    <x v="0"/>
    <x v="22"/>
    <x v="10"/>
    <x v="2"/>
    <x v="0"/>
    <x v="3"/>
    <x v="221"/>
    <x v="237"/>
    <x v="2"/>
    <x v="5"/>
    <x v="239"/>
  </r>
  <r>
    <n v="243"/>
    <x v="30"/>
    <x v="0"/>
    <x v="1"/>
    <x v="103"/>
    <x v="3"/>
    <x v="0"/>
    <x v="107"/>
    <x v="0"/>
    <x v="0"/>
    <x v="22"/>
    <x v="10"/>
    <x v="2"/>
    <x v="0"/>
    <x v="5"/>
    <x v="222"/>
    <x v="238"/>
    <x v="1"/>
    <x v="7"/>
    <x v="240"/>
  </r>
  <r>
    <n v="244"/>
    <x v="30"/>
    <x v="0"/>
    <x v="1"/>
    <x v="103"/>
    <x v="3"/>
    <x v="0"/>
    <x v="107"/>
    <x v="0"/>
    <x v="0"/>
    <x v="22"/>
    <x v="10"/>
    <x v="2"/>
    <x v="1"/>
    <x v="6"/>
    <x v="181"/>
    <x v="191"/>
    <x v="0"/>
    <x v="2"/>
    <x v="193"/>
  </r>
  <r>
    <n v="245"/>
    <x v="106"/>
    <x v="2"/>
    <x v="1"/>
    <x v="104"/>
    <x v="3"/>
    <x v="0"/>
    <x v="108"/>
    <x v="2"/>
    <x v="0"/>
    <x v="69"/>
    <x v="11"/>
    <x v="2"/>
    <x v="0"/>
    <x v="1"/>
    <x v="120"/>
    <x v="239"/>
    <x v="3"/>
    <x v="0"/>
    <x v="241"/>
  </r>
  <r>
    <n v="246"/>
    <x v="106"/>
    <x v="2"/>
    <x v="1"/>
    <x v="104"/>
    <x v="3"/>
    <x v="0"/>
    <x v="108"/>
    <x v="2"/>
    <x v="0"/>
    <x v="69"/>
    <x v="11"/>
    <x v="2"/>
    <x v="1"/>
    <x v="4"/>
    <x v="223"/>
    <x v="240"/>
    <x v="0"/>
    <x v="0"/>
    <x v="242"/>
  </r>
  <r>
    <n v="247"/>
    <x v="106"/>
    <x v="2"/>
    <x v="1"/>
    <x v="104"/>
    <x v="3"/>
    <x v="0"/>
    <x v="108"/>
    <x v="2"/>
    <x v="0"/>
    <x v="69"/>
    <x v="11"/>
    <x v="2"/>
    <x v="1"/>
    <x v="10"/>
    <x v="224"/>
    <x v="241"/>
    <x v="5"/>
    <x v="0"/>
    <x v="243"/>
  </r>
  <r>
    <n v="248"/>
    <x v="106"/>
    <x v="2"/>
    <x v="1"/>
    <x v="104"/>
    <x v="3"/>
    <x v="0"/>
    <x v="108"/>
    <x v="2"/>
    <x v="0"/>
    <x v="69"/>
    <x v="11"/>
    <x v="2"/>
    <x v="1"/>
    <x v="9"/>
    <x v="225"/>
    <x v="242"/>
    <x v="2"/>
    <x v="0"/>
    <x v="244"/>
  </r>
  <r>
    <n v="249"/>
    <x v="106"/>
    <x v="2"/>
    <x v="1"/>
    <x v="104"/>
    <x v="3"/>
    <x v="0"/>
    <x v="108"/>
    <x v="2"/>
    <x v="0"/>
    <x v="69"/>
    <x v="11"/>
    <x v="2"/>
    <x v="1"/>
    <x v="10"/>
    <x v="179"/>
    <x v="233"/>
    <x v="4"/>
    <x v="0"/>
    <x v="245"/>
  </r>
  <r>
    <n v="250"/>
    <x v="107"/>
    <x v="0"/>
    <x v="4"/>
    <x v="105"/>
    <x v="3"/>
    <x v="0"/>
    <x v="109"/>
    <x v="0"/>
    <x v="0"/>
    <x v="8"/>
    <x v="1"/>
    <x v="1"/>
    <x v="0"/>
    <x v="1"/>
    <x v="226"/>
    <x v="243"/>
    <x v="0"/>
    <x v="2"/>
    <x v="246"/>
  </r>
  <r>
    <n v="251"/>
    <x v="108"/>
    <x v="0"/>
    <x v="8"/>
    <x v="106"/>
    <x v="5"/>
    <x v="1"/>
    <x v="110"/>
    <x v="0"/>
    <x v="0"/>
    <x v="70"/>
    <x v="1"/>
    <x v="1"/>
    <x v="1"/>
    <x v="10"/>
    <x v="227"/>
    <x v="244"/>
    <x v="7"/>
    <x v="0"/>
    <x v="247"/>
  </r>
  <r>
    <n v="252"/>
    <x v="108"/>
    <x v="0"/>
    <x v="8"/>
    <x v="106"/>
    <x v="5"/>
    <x v="1"/>
    <x v="110"/>
    <x v="0"/>
    <x v="0"/>
    <x v="70"/>
    <x v="1"/>
    <x v="1"/>
    <x v="2"/>
    <x v="11"/>
    <x v="216"/>
    <x v="245"/>
    <x v="11"/>
    <x v="0"/>
    <x v="248"/>
  </r>
  <r>
    <n v="253"/>
    <x v="107"/>
    <x v="0"/>
    <x v="4"/>
    <x v="10"/>
    <x v="0"/>
    <x v="2"/>
    <x v="111"/>
    <x v="0"/>
    <x v="0"/>
    <x v="20"/>
    <x v="15"/>
    <x v="3"/>
    <x v="1"/>
    <x v="4"/>
    <x v="228"/>
    <x v="246"/>
    <x v="5"/>
    <x v="0"/>
    <x v="249"/>
  </r>
  <r>
    <n v="254"/>
    <x v="107"/>
    <x v="0"/>
    <x v="4"/>
    <x v="10"/>
    <x v="0"/>
    <x v="2"/>
    <x v="111"/>
    <x v="0"/>
    <x v="0"/>
    <x v="20"/>
    <x v="15"/>
    <x v="3"/>
    <x v="1"/>
    <x v="12"/>
    <x v="229"/>
    <x v="247"/>
    <x v="4"/>
    <x v="0"/>
    <x v="250"/>
  </r>
  <r>
    <n v="255"/>
    <x v="109"/>
    <x v="1"/>
    <x v="0"/>
    <x v="107"/>
    <x v="5"/>
    <x v="1"/>
    <x v="112"/>
    <x v="1"/>
    <x v="0"/>
    <x v="22"/>
    <x v="10"/>
    <x v="2"/>
    <x v="0"/>
    <x v="5"/>
    <x v="222"/>
    <x v="248"/>
    <x v="6"/>
    <x v="7"/>
    <x v="251"/>
  </r>
  <r>
    <n v="256"/>
    <x v="109"/>
    <x v="1"/>
    <x v="0"/>
    <x v="107"/>
    <x v="5"/>
    <x v="1"/>
    <x v="112"/>
    <x v="1"/>
    <x v="0"/>
    <x v="22"/>
    <x v="10"/>
    <x v="2"/>
    <x v="1"/>
    <x v="4"/>
    <x v="230"/>
    <x v="249"/>
    <x v="0"/>
    <x v="2"/>
    <x v="252"/>
  </r>
  <r>
    <n v="257"/>
    <x v="109"/>
    <x v="1"/>
    <x v="0"/>
    <x v="107"/>
    <x v="5"/>
    <x v="1"/>
    <x v="112"/>
    <x v="1"/>
    <x v="0"/>
    <x v="22"/>
    <x v="10"/>
    <x v="2"/>
    <x v="1"/>
    <x v="4"/>
    <x v="146"/>
    <x v="250"/>
    <x v="2"/>
    <x v="2"/>
    <x v="253"/>
  </r>
  <r>
    <n v="258"/>
    <x v="109"/>
    <x v="1"/>
    <x v="0"/>
    <x v="107"/>
    <x v="5"/>
    <x v="1"/>
    <x v="112"/>
    <x v="1"/>
    <x v="0"/>
    <x v="22"/>
    <x v="10"/>
    <x v="2"/>
    <x v="2"/>
    <x v="7"/>
    <x v="231"/>
    <x v="251"/>
    <x v="5"/>
    <x v="2"/>
    <x v="254"/>
  </r>
  <r>
    <n v="259"/>
    <x v="96"/>
    <x v="3"/>
    <x v="4"/>
    <x v="108"/>
    <x v="4"/>
    <x v="0"/>
    <x v="113"/>
    <x v="0"/>
    <x v="0"/>
    <x v="20"/>
    <x v="15"/>
    <x v="3"/>
    <x v="2"/>
    <x v="11"/>
    <x v="232"/>
    <x v="252"/>
    <x v="1"/>
    <x v="0"/>
    <x v="255"/>
  </r>
  <r>
    <n v="260"/>
    <x v="96"/>
    <x v="3"/>
    <x v="4"/>
    <x v="108"/>
    <x v="4"/>
    <x v="0"/>
    <x v="113"/>
    <x v="0"/>
    <x v="0"/>
    <x v="20"/>
    <x v="15"/>
    <x v="3"/>
    <x v="1"/>
    <x v="4"/>
    <x v="233"/>
    <x v="253"/>
    <x v="1"/>
    <x v="0"/>
    <x v="256"/>
  </r>
  <r>
    <n v="261"/>
    <x v="96"/>
    <x v="3"/>
    <x v="4"/>
    <x v="108"/>
    <x v="4"/>
    <x v="0"/>
    <x v="113"/>
    <x v="0"/>
    <x v="0"/>
    <x v="20"/>
    <x v="15"/>
    <x v="3"/>
    <x v="1"/>
    <x v="8"/>
    <x v="234"/>
    <x v="254"/>
    <x v="2"/>
    <x v="2"/>
    <x v="257"/>
  </r>
  <r>
    <n v="262"/>
    <x v="110"/>
    <x v="3"/>
    <x v="1"/>
    <x v="109"/>
    <x v="1"/>
    <x v="1"/>
    <x v="114"/>
    <x v="1"/>
    <x v="0"/>
    <x v="45"/>
    <x v="5"/>
    <x v="2"/>
    <x v="1"/>
    <x v="9"/>
    <x v="235"/>
    <x v="255"/>
    <x v="0"/>
    <x v="3"/>
    <x v="258"/>
  </r>
  <r>
    <n v="263"/>
    <x v="111"/>
    <x v="2"/>
    <x v="8"/>
    <x v="110"/>
    <x v="4"/>
    <x v="0"/>
    <x v="115"/>
    <x v="1"/>
    <x v="0"/>
    <x v="12"/>
    <x v="5"/>
    <x v="2"/>
    <x v="2"/>
    <x v="15"/>
    <x v="154"/>
    <x v="256"/>
    <x v="1"/>
    <x v="10"/>
    <x v="259"/>
  </r>
  <r>
    <n v="264"/>
    <x v="111"/>
    <x v="2"/>
    <x v="8"/>
    <x v="110"/>
    <x v="4"/>
    <x v="0"/>
    <x v="115"/>
    <x v="1"/>
    <x v="0"/>
    <x v="12"/>
    <x v="5"/>
    <x v="2"/>
    <x v="2"/>
    <x v="15"/>
    <x v="236"/>
    <x v="257"/>
    <x v="3"/>
    <x v="10"/>
    <x v="260"/>
  </r>
  <r>
    <n v="265"/>
    <x v="112"/>
    <x v="0"/>
    <x v="1"/>
    <x v="111"/>
    <x v="2"/>
    <x v="1"/>
    <x v="116"/>
    <x v="0"/>
    <x v="0"/>
    <x v="22"/>
    <x v="10"/>
    <x v="2"/>
    <x v="2"/>
    <x v="7"/>
    <x v="237"/>
    <x v="258"/>
    <x v="4"/>
    <x v="2"/>
    <x v="261"/>
  </r>
  <r>
    <n v="266"/>
    <x v="113"/>
    <x v="1"/>
    <x v="0"/>
    <x v="112"/>
    <x v="3"/>
    <x v="1"/>
    <x v="117"/>
    <x v="0"/>
    <x v="0"/>
    <x v="71"/>
    <x v="1"/>
    <x v="1"/>
    <x v="2"/>
    <x v="11"/>
    <x v="238"/>
    <x v="259"/>
    <x v="0"/>
    <x v="0"/>
    <x v="262"/>
  </r>
  <r>
    <n v="267"/>
    <x v="114"/>
    <x v="3"/>
    <x v="1"/>
    <x v="46"/>
    <x v="1"/>
    <x v="1"/>
    <x v="118"/>
    <x v="1"/>
    <x v="0"/>
    <x v="72"/>
    <x v="3"/>
    <x v="0"/>
    <x v="1"/>
    <x v="6"/>
    <x v="239"/>
    <x v="260"/>
    <x v="1"/>
    <x v="2"/>
    <x v="263"/>
  </r>
  <r>
    <n v="268"/>
    <x v="115"/>
    <x v="0"/>
    <x v="9"/>
    <x v="113"/>
    <x v="5"/>
    <x v="1"/>
    <x v="38"/>
    <x v="0"/>
    <x v="0"/>
    <x v="73"/>
    <x v="30"/>
    <x v="3"/>
    <x v="1"/>
    <x v="13"/>
    <x v="240"/>
    <x v="261"/>
    <x v="5"/>
    <x v="0"/>
    <x v="264"/>
  </r>
  <r>
    <n v="269"/>
    <x v="34"/>
    <x v="3"/>
    <x v="4"/>
    <x v="114"/>
    <x v="1"/>
    <x v="1"/>
    <x v="119"/>
    <x v="1"/>
    <x v="0"/>
    <x v="74"/>
    <x v="24"/>
    <x v="3"/>
    <x v="1"/>
    <x v="4"/>
    <x v="241"/>
    <x v="262"/>
    <x v="7"/>
    <x v="2"/>
    <x v="265"/>
  </r>
  <r>
    <n v="270"/>
    <x v="34"/>
    <x v="3"/>
    <x v="4"/>
    <x v="114"/>
    <x v="1"/>
    <x v="1"/>
    <x v="119"/>
    <x v="1"/>
    <x v="0"/>
    <x v="74"/>
    <x v="24"/>
    <x v="3"/>
    <x v="1"/>
    <x v="12"/>
    <x v="242"/>
    <x v="263"/>
    <x v="1"/>
    <x v="2"/>
    <x v="266"/>
  </r>
  <r>
    <n v="271"/>
    <x v="116"/>
    <x v="3"/>
    <x v="4"/>
    <x v="115"/>
    <x v="3"/>
    <x v="0"/>
    <x v="120"/>
    <x v="1"/>
    <x v="0"/>
    <x v="8"/>
    <x v="1"/>
    <x v="1"/>
    <x v="1"/>
    <x v="4"/>
    <x v="243"/>
    <x v="264"/>
    <x v="4"/>
    <x v="0"/>
    <x v="267"/>
  </r>
  <r>
    <n v="272"/>
    <x v="117"/>
    <x v="1"/>
    <x v="7"/>
    <x v="116"/>
    <x v="6"/>
    <x v="2"/>
    <x v="66"/>
    <x v="0"/>
    <x v="0"/>
    <x v="8"/>
    <x v="1"/>
    <x v="1"/>
    <x v="2"/>
    <x v="11"/>
    <x v="244"/>
    <x v="265"/>
    <x v="3"/>
    <x v="0"/>
    <x v="268"/>
  </r>
  <r>
    <n v="273"/>
    <x v="117"/>
    <x v="1"/>
    <x v="7"/>
    <x v="116"/>
    <x v="6"/>
    <x v="2"/>
    <x v="66"/>
    <x v="0"/>
    <x v="0"/>
    <x v="8"/>
    <x v="1"/>
    <x v="1"/>
    <x v="0"/>
    <x v="5"/>
    <x v="245"/>
    <x v="266"/>
    <x v="1"/>
    <x v="0"/>
    <x v="269"/>
  </r>
  <r>
    <n v="274"/>
    <x v="117"/>
    <x v="1"/>
    <x v="7"/>
    <x v="116"/>
    <x v="6"/>
    <x v="2"/>
    <x v="66"/>
    <x v="0"/>
    <x v="0"/>
    <x v="8"/>
    <x v="1"/>
    <x v="1"/>
    <x v="1"/>
    <x v="8"/>
    <x v="246"/>
    <x v="267"/>
    <x v="1"/>
    <x v="2"/>
    <x v="270"/>
  </r>
  <r>
    <n v="275"/>
    <x v="118"/>
    <x v="3"/>
    <x v="8"/>
    <x v="31"/>
    <x v="6"/>
    <x v="2"/>
    <x v="121"/>
    <x v="1"/>
    <x v="0"/>
    <x v="75"/>
    <x v="1"/>
    <x v="1"/>
    <x v="1"/>
    <x v="10"/>
    <x v="247"/>
    <x v="138"/>
    <x v="0"/>
    <x v="0"/>
    <x v="271"/>
  </r>
  <r>
    <n v="276"/>
    <x v="118"/>
    <x v="3"/>
    <x v="8"/>
    <x v="31"/>
    <x v="6"/>
    <x v="2"/>
    <x v="121"/>
    <x v="1"/>
    <x v="0"/>
    <x v="75"/>
    <x v="1"/>
    <x v="1"/>
    <x v="1"/>
    <x v="6"/>
    <x v="248"/>
    <x v="156"/>
    <x v="7"/>
    <x v="0"/>
    <x v="272"/>
  </r>
  <r>
    <n v="277"/>
    <x v="119"/>
    <x v="3"/>
    <x v="2"/>
    <x v="117"/>
    <x v="1"/>
    <x v="1"/>
    <x v="122"/>
    <x v="1"/>
    <x v="0"/>
    <x v="10"/>
    <x v="9"/>
    <x v="3"/>
    <x v="1"/>
    <x v="10"/>
    <x v="249"/>
    <x v="25"/>
    <x v="0"/>
    <x v="2"/>
    <x v="273"/>
  </r>
  <r>
    <n v="278"/>
    <x v="119"/>
    <x v="3"/>
    <x v="2"/>
    <x v="117"/>
    <x v="1"/>
    <x v="1"/>
    <x v="122"/>
    <x v="1"/>
    <x v="0"/>
    <x v="10"/>
    <x v="9"/>
    <x v="3"/>
    <x v="1"/>
    <x v="10"/>
    <x v="250"/>
    <x v="268"/>
    <x v="4"/>
    <x v="2"/>
    <x v="274"/>
  </r>
  <r>
    <n v="279"/>
    <x v="119"/>
    <x v="3"/>
    <x v="2"/>
    <x v="117"/>
    <x v="1"/>
    <x v="1"/>
    <x v="122"/>
    <x v="1"/>
    <x v="0"/>
    <x v="10"/>
    <x v="9"/>
    <x v="3"/>
    <x v="1"/>
    <x v="4"/>
    <x v="251"/>
    <x v="269"/>
    <x v="5"/>
    <x v="2"/>
    <x v="275"/>
  </r>
  <r>
    <n v="280"/>
    <x v="119"/>
    <x v="3"/>
    <x v="2"/>
    <x v="117"/>
    <x v="1"/>
    <x v="1"/>
    <x v="122"/>
    <x v="1"/>
    <x v="0"/>
    <x v="10"/>
    <x v="9"/>
    <x v="3"/>
    <x v="1"/>
    <x v="2"/>
    <x v="252"/>
    <x v="270"/>
    <x v="1"/>
    <x v="2"/>
    <x v="276"/>
  </r>
  <r>
    <n v="281"/>
    <x v="120"/>
    <x v="1"/>
    <x v="8"/>
    <x v="118"/>
    <x v="4"/>
    <x v="0"/>
    <x v="56"/>
    <x v="0"/>
    <x v="0"/>
    <x v="12"/>
    <x v="5"/>
    <x v="2"/>
    <x v="1"/>
    <x v="8"/>
    <x v="253"/>
    <x v="271"/>
    <x v="2"/>
    <x v="3"/>
    <x v="277"/>
  </r>
  <r>
    <n v="282"/>
    <x v="120"/>
    <x v="1"/>
    <x v="8"/>
    <x v="118"/>
    <x v="4"/>
    <x v="0"/>
    <x v="56"/>
    <x v="0"/>
    <x v="0"/>
    <x v="12"/>
    <x v="5"/>
    <x v="2"/>
    <x v="2"/>
    <x v="7"/>
    <x v="254"/>
    <x v="272"/>
    <x v="3"/>
    <x v="2"/>
    <x v="278"/>
  </r>
  <r>
    <n v="283"/>
    <x v="121"/>
    <x v="1"/>
    <x v="0"/>
    <x v="85"/>
    <x v="1"/>
    <x v="1"/>
    <x v="123"/>
    <x v="0"/>
    <x v="0"/>
    <x v="1"/>
    <x v="1"/>
    <x v="1"/>
    <x v="0"/>
    <x v="3"/>
    <x v="255"/>
    <x v="273"/>
    <x v="2"/>
    <x v="2"/>
    <x v="279"/>
  </r>
  <r>
    <n v="284"/>
    <x v="120"/>
    <x v="1"/>
    <x v="8"/>
    <x v="119"/>
    <x v="5"/>
    <x v="1"/>
    <x v="14"/>
    <x v="0"/>
    <x v="0"/>
    <x v="32"/>
    <x v="21"/>
    <x v="1"/>
    <x v="1"/>
    <x v="10"/>
    <x v="33"/>
    <x v="274"/>
    <x v="2"/>
    <x v="2"/>
    <x v="280"/>
  </r>
  <r>
    <n v="285"/>
    <x v="120"/>
    <x v="1"/>
    <x v="8"/>
    <x v="119"/>
    <x v="5"/>
    <x v="1"/>
    <x v="14"/>
    <x v="0"/>
    <x v="0"/>
    <x v="32"/>
    <x v="21"/>
    <x v="1"/>
    <x v="2"/>
    <x v="11"/>
    <x v="256"/>
    <x v="275"/>
    <x v="2"/>
    <x v="2"/>
    <x v="281"/>
  </r>
  <r>
    <n v="286"/>
    <x v="120"/>
    <x v="1"/>
    <x v="8"/>
    <x v="119"/>
    <x v="5"/>
    <x v="1"/>
    <x v="14"/>
    <x v="0"/>
    <x v="0"/>
    <x v="32"/>
    <x v="21"/>
    <x v="1"/>
    <x v="1"/>
    <x v="10"/>
    <x v="257"/>
    <x v="276"/>
    <x v="5"/>
    <x v="2"/>
    <x v="282"/>
  </r>
  <r>
    <n v="287"/>
    <x v="122"/>
    <x v="0"/>
    <x v="4"/>
    <x v="120"/>
    <x v="4"/>
    <x v="0"/>
    <x v="124"/>
    <x v="1"/>
    <x v="0"/>
    <x v="76"/>
    <x v="2"/>
    <x v="0"/>
    <x v="1"/>
    <x v="8"/>
    <x v="258"/>
    <x v="277"/>
    <x v="3"/>
    <x v="6"/>
    <x v="283"/>
  </r>
  <r>
    <n v="288"/>
    <x v="122"/>
    <x v="0"/>
    <x v="4"/>
    <x v="120"/>
    <x v="4"/>
    <x v="0"/>
    <x v="124"/>
    <x v="1"/>
    <x v="0"/>
    <x v="76"/>
    <x v="2"/>
    <x v="0"/>
    <x v="1"/>
    <x v="9"/>
    <x v="165"/>
    <x v="278"/>
    <x v="0"/>
    <x v="2"/>
    <x v="284"/>
  </r>
  <r>
    <n v="289"/>
    <x v="122"/>
    <x v="0"/>
    <x v="4"/>
    <x v="120"/>
    <x v="4"/>
    <x v="0"/>
    <x v="124"/>
    <x v="1"/>
    <x v="0"/>
    <x v="76"/>
    <x v="2"/>
    <x v="0"/>
    <x v="1"/>
    <x v="14"/>
    <x v="259"/>
    <x v="279"/>
    <x v="2"/>
    <x v="2"/>
    <x v="285"/>
  </r>
  <r>
    <n v="290"/>
    <x v="73"/>
    <x v="0"/>
    <x v="0"/>
    <x v="71"/>
    <x v="1"/>
    <x v="0"/>
    <x v="125"/>
    <x v="2"/>
    <x v="0"/>
    <x v="38"/>
    <x v="24"/>
    <x v="3"/>
    <x v="1"/>
    <x v="13"/>
    <x v="260"/>
    <x v="280"/>
    <x v="3"/>
    <x v="2"/>
    <x v="286"/>
  </r>
  <r>
    <n v="291"/>
    <x v="73"/>
    <x v="0"/>
    <x v="0"/>
    <x v="71"/>
    <x v="1"/>
    <x v="0"/>
    <x v="125"/>
    <x v="2"/>
    <x v="0"/>
    <x v="38"/>
    <x v="24"/>
    <x v="3"/>
    <x v="1"/>
    <x v="2"/>
    <x v="261"/>
    <x v="281"/>
    <x v="8"/>
    <x v="2"/>
    <x v="287"/>
  </r>
  <r>
    <n v="292"/>
    <x v="73"/>
    <x v="0"/>
    <x v="0"/>
    <x v="71"/>
    <x v="1"/>
    <x v="0"/>
    <x v="125"/>
    <x v="2"/>
    <x v="0"/>
    <x v="38"/>
    <x v="24"/>
    <x v="3"/>
    <x v="2"/>
    <x v="11"/>
    <x v="262"/>
    <x v="282"/>
    <x v="0"/>
    <x v="2"/>
    <x v="288"/>
  </r>
  <r>
    <n v="293"/>
    <x v="73"/>
    <x v="0"/>
    <x v="0"/>
    <x v="71"/>
    <x v="1"/>
    <x v="0"/>
    <x v="125"/>
    <x v="2"/>
    <x v="0"/>
    <x v="38"/>
    <x v="24"/>
    <x v="3"/>
    <x v="0"/>
    <x v="0"/>
    <x v="263"/>
    <x v="283"/>
    <x v="1"/>
    <x v="5"/>
    <x v="289"/>
  </r>
  <r>
    <n v="294"/>
    <x v="58"/>
    <x v="2"/>
    <x v="4"/>
    <x v="58"/>
    <x v="4"/>
    <x v="2"/>
    <x v="126"/>
    <x v="1"/>
    <x v="0"/>
    <x v="77"/>
    <x v="22"/>
    <x v="1"/>
    <x v="0"/>
    <x v="5"/>
    <x v="264"/>
    <x v="284"/>
    <x v="8"/>
    <x v="2"/>
    <x v="290"/>
  </r>
  <r>
    <n v="295"/>
    <x v="58"/>
    <x v="2"/>
    <x v="4"/>
    <x v="58"/>
    <x v="4"/>
    <x v="2"/>
    <x v="126"/>
    <x v="1"/>
    <x v="0"/>
    <x v="77"/>
    <x v="22"/>
    <x v="1"/>
    <x v="0"/>
    <x v="1"/>
    <x v="265"/>
    <x v="285"/>
    <x v="1"/>
    <x v="2"/>
    <x v="291"/>
  </r>
  <r>
    <n v="296"/>
    <x v="58"/>
    <x v="2"/>
    <x v="4"/>
    <x v="58"/>
    <x v="4"/>
    <x v="2"/>
    <x v="126"/>
    <x v="1"/>
    <x v="0"/>
    <x v="77"/>
    <x v="22"/>
    <x v="1"/>
    <x v="0"/>
    <x v="5"/>
    <x v="266"/>
    <x v="286"/>
    <x v="1"/>
    <x v="2"/>
    <x v="292"/>
  </r>
  <r>
    <n v="297"/>
    <x v="58"/>
    <x v="2"/>
    <x v="4"/>
    <x v="58"/>
    <x v="4"/>
    <x v="2"/>
    <x v="126"/>
    <x v="1"/>
    <x v="0"/>
    <x v="77"/>
    <x v="22"/>
    <x v="1"/>
    <x v="1"/>
    <x v="8"/>
    <x v="267"/>
    <x v="287"/>
    <x v="2"/>
    <x v="6"/>
    <x v="293"/>
  </r>
  <r>
    <n v="298"/>
    <x v="58"/>
    <x v="2"/>
    <x v="4"/>
    <x v="58"/>
    <x v="4"/>
    <x v="2"/>
    <x v="126"/>
    <x v="1"/>
    <x v="0"/>
    <x v="77"/>
    <x v="22"/>
    <x v="1"/>
    <x v="1"/>
    <x v="13"/>
    <x v="268"/>
    <x v="288"/>
    <x v="1"/>
    <x v="2"/>
    <x v="294"/>
  </r>
  <r>
    <n v="299"/>
    <x v="99"/>
    <x v="0"/>
    <x v="2"/>
    <x v="121"/>
    <x v="5"/>
    <x v="1"/>
    <x v="63"/>
    <x v="1"/>
    <x v="0"/>
    <x v="78"/>
    <x v="30"/>
    <x v="3"/>
    <x v="1"/>
    <x v="10"/>
    <x v="269"/>
    <x v="56"/>
    <x v="2"/>
    <x v="0"/>
    <x v="56"/>
  </r>
  <r>
    <n v="300"/>
    <x v="99"/>
    <x v="0"/>
    <x v="2"/>
    <x v="121"/>
    <x v="5"/>
    <x v="1"/>
    <x v="63"/>
    <x v="1"/>
    <x v="0"/>
    <x v="78"/>
    <x v="30"/>
    <x v="3"/>
    <x v="1"/>
    <x v="4"/>
    <x v="270"/>
    <x v="289"/>
    <x v="8"/>
    <x v="0"/>
    <x v="295"/>
  </r>
  <r>
    <n v="301"/>
    <x v="99"/>
    <x v="0"/>
    <x v="2"/>
    <x v="121"/>
    <x v="5"/>
    <x v="1"/>
    <x v="63"/>
    <x v="1"/>
    <x v="0"/>
    <x v="78"/>
    <x v="30"/>
    <x v="3"/>
    <x v="1"/>
    <x v="10"/>
    <x v="271"/>
    <x v="290"/>
    <x v="1"/>
    <x v="0"/>
    <x v="296"/>
  </r>
  <r>
    <n v="302"/>
    <x v="99"/>
    <x v="0"/>
    <x v="2"/>
    <x v="121"/>
    <x v="5"/>
    <x v="1"/>
    <x v="63"/>
    <x v="1"/>
    <x v="0"/>
    <x v="78"/>
    <x v="30"/>
    <x v="3"/>
    <x v="0"/>
    <x v="5"/>
    <x v="272"/>
    <x v="291"/>
    <x v="4"/>
    <x v="0"/>
    <x v="297"/>
  </r>
  <r>
    <n v="303"/>
    <x v="99"/>
    <x v="0"/>
    <x v="2"/>
    <x v="121"/>
    <x v="5"/>
    <x v="1"/>
    <x v="63"/>
    <x v="1"/>
    <x v="0"/>
    <x v="78"/>
    <x v="30"/>
    <x v="3"/>
    <x v="1"/>
    <x v="8"/>
    <x v="273"/>
    <x v="190"/>
    <x v="7"/>
    <x v="0"/>
    <x v="298"/>
  </r>
  <r>
    <n v="304"/>
    <x v="123"/>
    <x v="3"/>
    <x v="0"/>
    <x v="122"/>
    <x v="1"/>
    <x v="1"/>
    <x v="101"/>
    <x v="0"/>
    <x v="0"/>
    <x v="22"/>
    <x v="10"/>
    <x v="2"/>
    <x v="0"/>
    <x v="3"/>
    <x v="274"/>
    <x v="292"/>
    <x v="1"/>
    <x v="5"/>
    <x v="299"/>
  </r>
  <r>
    <n v="305"/>
    <x v="124"/>
    <x v="1"/>
    <x v="5"/>
    <x v="123"/>
    <x v="3"/>
    <x v="0"/>
    <x v="127"/>
    <x v="1"/>
    <x v="0"/>
    <x v="20"/>
    <x v="15"/>
    <x v="3"/>
    <x v="0"/>
    <x v="5"/>
    <x v="275"/>
    <x v="293"/>
    <x v="0"/>
    <x v="0"/>
    <x v="300"/>
  </r>
  <r>
    <n v="306"/>
    <x v="125"/>
    <x v="2"/>
    <x v="4"/>
    <x v="124"/>
    <x v="3"/>
    <x v="1"/>
    <x v="33"/>
    <x v="1"/>
    <x v="0"/>
    <x v="79"/>
    <x v="12"/>
    <x v="2"/>
    <x v="1"/>
    <x v="6"/>
    <x v="276"/>
    <x v="294"/>
    <x v="1"/>
    <x v="0"/>
    <x v="301"/>
  </r>
  <r>
    <n v="307"/>
    <x v="106"/>
    <x v="2"/>
    <x v="1"/>
    <x v="104"/>
    <x v="3"/>
    <x v="1"/>
    <x v="128"/>
    <x v="2"/>
    <x v="0"/>
    <x v="80"/>
    <x v="30"/>
    <x v="3"/>
    <x v="1"/>
    <x v="8"/>
    <x v="277"/>
    <x v="295"/>
    <x v="1"/>
    <x v="0"/>
    <x v="302"/>
  </r>
  <r>
    <n v="308"/>
    <x v="106"/>
    <x v="2"/>
    <x v="1"/>
    <x v="104"/>
    <x v="3"/>
    <x v="1"/>
    <x v="128"/>
    <x v="2"/>
    <x v="0"/>
    <x v="80"/>
    <x v="30"/>
    <x v="3"/>
    <x v="1"/>
    <x v="6"/>
    <x v="278"/>
    <x v="296"/>
    <x v="5"/>
    <x v="0"/>
    <x v="303"/>
  </r>
  <r>
    <n v="309"/>
    <x v="4"/>
    <x v="3"/>
    <x v="3"/>
    <x v="125"/>
    <x v="4"/>
    <x v="2"/>
    <x v="129"/>
    <x v="0"/>
    <x v="0"/>
    <x v="81"/>
    <x v="17"/>
    <x v="0"/>
    <x v="1"/>
    <x v="6"/>
    <x v="279"/>
    <x v="297"/>
    <x v="7"/>
    <x v="0"/>
    <x v="304"/>
  </r>
  <r>
    <n v="310"/>
    <x v="126"/>
    <x v="0"/>
    <x v="8"/>
    <x v="126"/>
    <x v="4"/>
    <x v="0"/>
    <x v="130"/>
    <x v="1"/>
    <x v="0"/>
    <x v="82"/>
    <x v="22"/>
    <x v="1"/>
    <x v="0"/>
    <x v="5"/>
    <x v="280"/>
    <x v="298"/>
    <x v="4"/>
    <x v="2"/>
    <x v="305"/>
  </r>
  <r>
    <n v="311"/>
    <x v="126"/>
    <x v="0"/>
    <x v="8"/>
    <x v="126"/>
    <x v="4"/>
    <x v="0"/>
    <x v="130"/>
    <x v="1"/>
    <x v="0"/>
    <x v="82"/>
    <x v="22"/>
    <x v="1"/>
    <x v="0"/>
    <x v="1"/>
    <x v="281"/>
    <x v="299"/>
    <x v="0"/>
    <x v="2"/>
    <x v="306"/>
  </r>
  <r>
    <n v="312"/>
    <x v="126"/>
    <x v="0"/>
    <x v="8"/>
    <x v="126"/>
    <x v="4"/>
    <x v="0"/>
    <x v="130"/>
    <x v="1"/>
    <x v="0"/>
    <x v="82"/>
    <x v="22"/>
    <x v="1"/>
    <x v="0"/>
    <x v="5"/>
    <x v="282"/>
    <x v="300"/>
    <x v="7"/>
    <x v="2"/>
    <x v="307"/>
  </r>
  <r>
    <n v="313"/>
    <x v="126"/>
    <x v="0"/>
    <x v="8"/>
    <x v="126"/>
    <x v="4"/>
    <x v="0"/>
    <x v="130"/>
    <x v="1"/>
    <x v="0"/>
    <x v="82"/>
    <x v="22"/>
    <x v="1"/>
    <x v="1"/>
    <x v="2"/>
    <x v="283"/>
    <x v="301"/>
    <x v="1"/>
    <x v="2"/>
    <x v="308"/>
  </r>
  <r>
    <n v="314"/>
    <x v="127"/>
    <x v="2"/>
    <x v="8"/>
    <x v="127"/>
    <x v="5"/>
    <x v="1"/>
    <x v="131"/>
    <x v="1"/>
    <x v="0"/>
    <x v="83"/>
    <x v="30"/>
    <x v="3"/>
    <x v="0"/>
    <x v="5"/>
    <x v="284"/>
    <x v="302"/>
    <x v="1"/>
    <x v="0"/>
    <x v="309"/>
  </r>
  <r>
    <n v="315"/>
    <x v="128"/>
    <x v="2"/>
    <x v="6"/>
    <x v="128"/>
    <x v="2"/>
    <x v="1"/>
    <x v="132"/>
    <x v="1"/>
    <x v="0"/>
    <x v="84"/>
    <x v="2"/>
    <x v="0"/>
    <x v="2"/>
    <x v="7"/>
    <x v="285"/>
    <x v="303"/>
    <x v="0"/>
    <x v="2"/>
    <x v="310"/>
  </r>
  <r>
    <n v="316"/>
    <x v="128"/>
    <x v="2"/>
    <x v="6"/>
    <x v="128"/>
    <x v="2"/>
    <x v="1"/>
    <x v="132"/>
    <x v="1"/>
    <x v="0"/>
    <x v="84"/>
    <x v="2"/>
    <x v="0"/>
    <x v="1"/>
    <x v="10"/>
    <x v="286"/>
    <x v="12"/>
    <x v="1"/>
    <x v="2"/>
    <x v="12"/>
  </r>
  <r>
    <n v="317"/>
    <x v="129"/>
    <x v="2"/>
    <x v="4"/>
    <x v="129"/>
    <x v="4"/>
    <x v="2"/>
    <x v="133"/>
    <x v="1"/>
    <x v="0"/>
    <x v="10"/>
    <x v="9"/>
    <x v="3"/>
    <x v="1"/>
    <x v="6"/>
    <x v="287"/>
    <x v="304"/>
    <x v="4"/>
    <x v="2"/>
    <x v="311"/>
  </r>
  <r>
    <n v="318"/>
    <x v="130"/>
    <x v="2"/>
    <x v="0"/>
    <x v="130"/>
    <x v="3"/>
    <x v="1"/>
    <x v="134"/>
    <x v="2"/>
    <x v="0"/>
    <x v="20"/>
    <x v="15"/>
    <x v="3"/>
    <x v="0"/>
    <x v="1"/>
    <x v="288"/>
    <x v="305"/>
    <x v="7"/>
    <x v="9"/>
    <x v="312"/>
  </r>
  <r>
    <n v="319"/>
    <x v="130"/>
    <x v="2"/>
    <x v="0"/>
    <x v="130"/>
    <x v="3"/>
    <x v="1"/>
    <x v="134"/>
    <x v="2"/>
    <x v="0"/>
    <x v="20"/>
    <x v="15"/>
    <x v="3"/>
    <x v="2"/>
    <x v="15"/>
    <x v="289"/>
    <x v="306"/>
    <x v="0"/>
    <x v="0"/>
    <x v="313"/>
  </r>
  <r>
    <n v="320"/>
    <x v="130"/>
    <x v="2"/>
    <x v="0"/>
    <x v="130"/>
    <x v="3"/>
    <x v="1"/>
    <x v="134"/>
    <x v="2"/>
    <x v="0"/>
    <x v="20"/>
    <x v="15"/>
    <x v="3"/>
    <x v="2"/>
    <x v="7"/>
    <x v="40"/>
    <x v="307"/>
    <x v="5"/>
    <x v="0"/>
    <x v="314"/>
  </r>
  <r>
    <n v="321"/>
    <x v="130"/>
    <x v="2"/>
    <x v="0"/>
    <x v="130"/>
    <x v="3"/>
    <x v="1"/>
    <x v="134"/>
    <x v="2"/>
    <x v="0"/>
    <x v="20"/>
    <x v="15"/>
    <x v="3"/>
    <x v="2"/>
    <x v="11"/>
    <x v="290"/>
    <x v="308"/>
    <x v="4"/>
    <x v="0"/>
    <x v="315"/>
  </r>
  <r>
    <n v="322"/>
    <x v="130"/>
    <x v="2"/>
    <x v="0"/>
    <x v="130"/>
    <x v="3"/>
    <x v="1"/>
    <x v="134"/>
    <x v="2"/>
    <x v="0"/>
    <x v="20"/>
    <x v="15"/>
    <x v="3"/>
    <x v="1"/>
    <x v="4"/>
    <x v="123"/>
    <x v="309"/>
    <x v="7"/>
    <x v="0"/>
    <x v="316"/>
  </r>
  <r>
    <n v="323"/>
    <x v="111"/>
    <x v="2"/>
    <x v="8"/>
    <x v="131"/>
    <x v="3"/>
    <x v="1"/>
    <x v="135"/>
    <x v="1"/>
    <x v="0"/>
    <x v="85"/>
    <x v="1"/>
    <x v="1"/>
    <x v="1"/>
    <x v="13"/>
    <x v="291"/>
    <x v="181"/>
    <x v="0"/>
    <x v="0"/>
    <x v="317"/>
  </r>
  <r>
    <n v="324"/>
    <x v="131"/>
    <x v="0"/>
    <x v="3"/>
    <x v="132"/>
    <x v="1"/>
    <x v="1"/>
    <x v="136"/>
    <x v="1"/>
    <x v="0"/>
    <x v="86"/>
    <x v="1"/>
    <x v="1"/>
    <x v="1"/>
    <x v="8"/>
    <x v="267"/>
    <x v="310"/>
    <x v="5"/>
    <x v="2"/>
    <x v="318"/>
  </r>
  <r>
    <n v="325"/>
    <x v="131"/>
    <x v="0"/>
    <x v="3"/>
    <x v="132"/>
    <x v="1"/>
    <x v="1"/>
    <x v="136"/>
    <x v="1"/>
    <x v="0"/>
    <x v="86"/>
    <x v="1"/>
    <x v="1"/>
    <x v="2"/>
    <x v="11"/>
    <x v="292"/>
    <x v="311"/>
    <x v="7"/>
    <x v="0"/>
    <x v="319"/>
  </r>
  <r>
    <n v="326"/>
    <x v="132"/>
    <x v="3"/>
    <x v="0"/>
    <x v="133"/>
    <x v="4"/>
    <x v="0"/>
    <x v="137"/>
    <x v="1"/>
    <x v="0"/>
    <x v="87"/>
    <x v="18"/>
    <x v="0"/>
    <x v="0"/>
    <x v="5"/>
    <x v="293"/>
    <x v="312"/>
    <x v="7"/>
    <x v="2"/>
    <x v="320"/>
  </r>
  <r>
    <n v="327"/>
    <x v="133"/>
    <x v="0"/>
    <x v="6"/>
    <x v="134"/>
    <x v="4"/>
    <x v="2"/>
    <x v="138"/>
    <x v="0"/>
    <x v="0"/>
    <x v="10"/>
    <x v="9"/>
    <x v="3"/>
    <x v="2"/>
    <x v="7"/>
    <x v="294"/>
    <x v="313"/>
    <x v="1"/>
    <x v="10"/>
    <x v="321"/>
  </r>
  <r>
    <n v="328"/>
    <x v="133"/>
    <x v="0"/>
    <x v="6"/>
    <x v="134"/>
    <x v="4"/>
    <x v="2"/>
    <x v="138"/>
    <x v="0"/>
    <x v="0"/>
    <x v="10"/>
    <x v="9"/>
    <x v="3"/>
    <x v="1"/>
    <x v="4"/>
    <x v="295"/>
    <x v="314"/>
    <x v="0"/>
    <x v="2"/>
    <x v="322"/>
  </r>
  <r>
    <n v="329"/>
    <x v="133"/>
    <x v="0"/>
    <x v="6"/>
    <x v="134"/>
    <x v="4"/>
    <x v="2"/>
    <x v="138"/>
    <x v="0"/>
    <x v="0"/>
    <x v="10"/>
    <x v="9"/>
    <x v="3"/>
    <x v="0"/>
    <x v="1"/>
    <x v="296"/>
    <x v="315"/>
    <x v="4"/>
    <x v="4"/>
    <x v="323"/>
  </r>
  <r>
    <n v="330"/>
    <x v="133"/>
    <x v="0"/>
    <x v="6"/>
    <x v="134"/>
    <x v="4"/>
    <x v="2"/>
    <x v="138"/>
    <x v="0"/>
    <x v="0"/>
    <x v="10"/>
    <x v="9"/>
    <x v="3"/>
    <x v="1"/>
    <x v="2"/>
    <x v="297"/>
    <x v="316"/>
    <x v="12"/>
    <x v="2"/>
    <x v="324"/>
  </r>
  <r>
    <n v="331"/>
    <x v="133"/>
    <x v="0"/>
    <x v="6"/>
    <x v="134"/>
    <x v="4"/>
    <x v="2"/>
    <x v="138"/>
    <x v="0"/>
    <x v="0"/>
    <x v="10"/>
    <x v="9"/>
    <x v="3"/>
    <x v="1"/>
    <x v="8"/>
    <x v="298"/>
    <x v="317"/>
    <x v="5"/>
    <x v="6"/>
    <x v="325"/>
  </r>
  <r>
    <n v="332"/>
    <x v="134"/>
    <x v="0"/>
    <x v="3"/>
    <x v="135"/>
    <x v="1"/>
    <x v="0"/>
    <x v="139"/>
    <x v="0"/>
    <x v="0"/>
    <x v="10"/>
    <x v="9"/>
    <x v="3"/>
    <x v="2"/>
    <x v="7"/>
    <x v="299"/>
    <x v="137"/>
    <x v="0"/>
    <x v="10"/>
    <x v="326"/>
  </r>
  <r>
    <n v="333"/>
    <x v="134"/>
    <x v="0"/>
    <x v="3"/>
    <x v="135"/>
    <x v="1"/>
    <x v="0"/>
    <x v="139"/>
    <x v="0"/>
    <x v="0"/>
    <x v="10"/>
    <x v="9"/>
    <x v="3"/>
    <x v="1"/>
    <x v="8"/>
    <x v="300"/>
    <x v="318"/>
    <x v="0"/>
    <x v="6"/>
    <x v="327"/>
  </r>
  <r>
    <n v="334"/>
    <x v="134"/>
    <x v="0"/>
    <x v="3"/>
    <x v="135"/>
    <x v="1"/>
    <x v="0"/>
    <x v="139"/>
    <x v="0"/>
    <x v="0"/>
    <x v="10"/>
    <x v="9"/>
    <x v="3"/>
    <x v="1"/>
    <x v="8"/>
    <x v="301"/>
    <x v="319"/>
    <x v="1"/>
    <x v="6"/>
    <x v="328"/>
  </r>
  <r>
    <n v="335"/>
    <x v="135"/>
    <x v="1"/>
    <x v="8"/>
    <x v="136"/>
    <x v="0"/>
    <x v="0"/>
    <x v="140"/>
    <x v="0"/>
    <x v="0"/>
    <x v="1"/>
    <x v="1"/>
    <x v="1"/>
    <x v="1"/>
    <x v="8"/>
    <x v="302"/>
    <x v="320"/>
    <x v="7"/>
    <x v="2"/>
    <x v="329"/>
  </r>
  <r>
    <n v="336"/>
    <x v="135"/>
    <x v="1"/>
    <x v="8"/>
    <x v="136"/>
    <x v="0"/>
    <x v="0"/>
    <x v="140"/>
    <x v="0"/>
    <x v="0"/>
    <x v="1"/>
    <x v="1"/>
    <x v="1"/>
    <x v="2"/>
    <x v="16"/>
    <x v="303"/>
    <x v="321"/>
    <x v="0"/>
    <x v="2"/>
    <x v="330"/>
  </r>
  <r>
    <n v="337"/>
    <x v="135"/>
    <x v="1"/>
    <x v="8"/>
    <x v="136"/>
    <x v="0"/>
    <x v="0"/>
    <x v="140"/>
    <x v="0"/>
    <x v="0"/>
    <x v="1"/>
    <x v="1"/>
    <x v="1"/>
    <x v="1"/>
    <x v="8"/>
    <x v="304"/>
    <x v="322"/>
    <x v="4"/>
    <x v="2"/>
    <x v="331"/>
  </r>
  <r>
    <n v="338"/>
    <x v="136"/>
    <x v="2"/>
    <x v="7"/>
    <x v="137"/>
    <x v="3"/>
    <x v="1"/>
    <x v="141"/>
    <x v="1"/>
    <x v="0"/>
    <x v="8"/>
    <x v="1"/>
    <x v="1"/>
    <x v="1"/>
    <x v="8"/>
    <x v="305"/>
    <x v="323"/>
    <x v="0"/>
    <x v="2"/>
    <x v="332"/>
  </r>
  <r>
    <n v="339"/>
    <x v="136"/>
    <x v="2"/>
    <x v="7"/>
    <x v="137"/>
    <x v="3"/>
    <x v="1"/>
    <x v="141"/>
    <x v="1"/>
    <x v="0"/>
    <x v="8"/>
    <x v="1"/>
    <x v="1"/>
    <x v="0"/>
    <x v="3"/>
    <x v="306"/>
    <x v="324"/>
    <x v="1"/>
    <x v="2"/>
    <x v="333"/>
  </r>
  <r>
    <n v="340"/>
    <x v="137"/>
    <x v="1"/>
    <x v="1"/>
    <x v="138"/>
    <x v="1"/>
    <x v="0"/>
    <x v="107"/>
    <x v="0"/>
    <x v="0"/>
    <x v="88"/>
    <x v="7"/>
    <x v="1"/>
    <x v="1"/>
    <x v="13"/>
    <x v="307"/>
    <x v="325"/>
    <x v="4"/>
    <x v="0"/>
    <x v="334"/>
  </r>
  <r>
    <n v="341"/>
    <x v="138"/>
    <x v="2"/>
    <x v="3"/>
    <x v="139"/>
    <x v="1"/>
    <x v="0"/>
    <x v="63"/>
    <x v="1"/>
    <x v="0"/>
    <x v="10"/>
    <x v="9"/>
    <x v="3"/>
    <x v="1"/>
    <x v="6"/>
    <x v="308"/>
    <x v="326"/>
    <x v="4"/>
    <x v="2"/>
    <x v="335"/>
  </r>
  <r>
    <n v="342"/>
    <x v="138"/>
    <x v="2"/>
    <x v="3"/>
    <x v="139"/>
    <x v="1"/>
    <x v="0"/>
    <x v="63"/>
    <x v="1"/>
    <x v="0"/>
    <x v="10"/>
    <x v="9"/>
    <x v="3"/>
    <x v="1"/>
    <x v="8"/>
    <x v="13"/>
    <x v="327"/>
    <x v="12"/>
    <x v="6"/>
    <x v="336"/>
  </r>
  <r>
    <n v="343"/>
    <x v="138"/>
    <x v="2"/>
    <x v="3"/>
    <x v="139"/>
    <x v="1"/>
    <x v="0"/>
    <x v="63"/>
    <x v="1"/>
    <x v="0"/>
    <x v="10"/>
    <x v="9"/>
    <x v="3"/>
    <x v="1"/>
    <x v="13"/>
    <x v="33"/>
    <x v="328"/>
    <x v="11"/>
    <x v="2"/>
    <x v="337"/>
  </r>
  <r>
    <n v="344"/>
    <x v="138"/>
    <x v="2"/>
    <x v="3"/>
    <x v="139"/>
    <x v="1"/>
    <x v="0"/>
    <x v="63"/>
    <x v="1"/>
    <x v="0"/>
    <x v="10"/>
    <x v="9"/>
    <x v="3"/>
    <x v="2"/>
    <x v="7"/>
    <x v="309"/>
    <x v="329"/>
    <x v="13"/>
    <x v="10"/>
    <x v="338"/>
  </r>
  <r>
    <n v="345"/>
    <x v="139"/>
    <x v="1"/>
    <x v="4"/>
    <x v="140"/>
    <x v="1"/>
    <x v="1"/>
    <x v="79"/>
    <x v="0"/>
    <x v="0"/>
    <x v="89"/>
    <x v="5"/>
    <x v="2"/>
    <x v="1"/>
    <x v="4"/>
    <x v="17"/>
    <x v="330"/>
    <x v="4"/>
    <x v="2"/>
    <x v="339"/>
  </r>
  <r>
    <n v="346"/>
    <x v="140"/>
    <x v="3"/>
    <x v="1"/>
    <x v="141"/>
    <x v="1"/>
    <x v="1"/>
    <x v="142"/>
    <x v="0"/>
    <x v="0"/>
    <x v="8"/>
    <x v="1"/>
    <x v="1"/>
    <x v="2"/>
    <x v="7"/>
    <x v="126"/>
    <x v="331"/>
    <x v="1"/>
    <x v="2"/>
    <x v="340"/>
  </r>
  <r>
    <n v="347"/>
    <x v="141"/>
    <x v="3"/>
    <x v="7"/>
    <x v="142"/>
    <x v="1"/>
    <x v="1"/>
    <x v="143"/>
    <x v="0"/>
    <x v="0"/>
    <x v="90"/>
    <x v="31"/>
    <x v="3"/>
    <x v="1"/>
    <x v="6"/>
    <x v="182"/>
    <x v="261"/>
    <x v="1"/>
    <x v="0"/>
    <x v="341"/>
  </r>
  <r>
    <n v="348"/>
    <x v="141"/>
    <x v="3"/>
    <x v="7"/>
    <x v="142"/>
    <x v="1"/>
    <x v="1"/>
    <x v="143"/>
    <x v="0"/>
    <x v="0"/>
    <x v="90"/>
    <x v="31"/>
    <x v="3"/>
    <x v="1"/>
    <x v="10"/>
    <x v="33"/>
    <x v="332"/>
    <x v="0"/>
    <x v="0"/>
    <x v="342"/>
  </r>
  <r>
    <n v="349"/>
    <x v="141"/>
    <x v="3"/>
    <x v="7"/>
    <x v="142"/>
    <x v="1"/>
    <x v="1"/>
    <x v="143"/>
    <x v="0"/>
    <x v="0"/>
    <x v="90"/>
    <x v="31"/>
    <x v="3"/>
    <x v="1"/>
    <x v="6"/>
    <x v="310"/>
    <x v="91"/>
    <x v="0"/>
    <x v="0"/>
    <x v="343"/>
  </r>
  <r>
    <n v="350"/>
    <x v="142"/>
    <x v="0"/>
    <x v="8"/>
    <x v="143"/>
    <x v="4"/>
    <x v="2"/>
    <x v="144"/>
    <x v="2"/>
    <x v="0"/>
    <x v="20"/>
    <x v="15"/>
    <x v="3"/>
    <x v="2"/>
    <x v="11"/>
    <x v="232"/>
    <x v="333"/>
    <x v="7"/>
    <x v="0"/>
    <x v="344"/>
  </r>
  <r>
    <n v="351"/>
    <x v="142"/>
    <x v="0"/>
    <x v="8"/>
    <x v="143"/>
    <x v="4"/>
    <x v="2"/>
    <x v="144"/>
    <x v="2"/>
    <x v="0"/>
    <x v="20"/>
    <x v="15"/>
    <x v="3"/>
    <x v="1"/>
    <x v="10"/>
    <x v="311"/>
    <x v="332"/>
    <x v="0"/>
    <x v="0"/>
    <x v="342"/>
  </r>
  <r>
    <n v="352"/>
    <x v="142"/>
    <x v="0"/>
    <x v="8"/>
    <x v="143"/>
    <x v="4"/>
    <x v="2"/>
    <x v="144"/>
    <x v="2"/>
    <x v="0"/>
    <x v="20"/>
    <x v="15"/>
    <x v="3"/>
    <x v="1"/>
    <x v="8"/>
    <x v="312"/>
    <x v="334"/>
    <x v="7"/>
    <x v="2"/>
    <x v="345"/>
  </r>
  <r>
    <n v="353"/>
    <x v="142"/>
    <x v="0"/>
    <x v="8"/>
    <x v="143"/>
    <x v="4"/>
    <x v="2"/>
    <x v="144"/>
    <x v="2"/>
    <x v="0"/>
    <x v="20"/>
    <x v="15"/>
    <x v="3"/>
    <x v="1"/>
    <x v="10"/>
    <x v="311"/>
    <x v="335"/>
    <x v="4"/>
    <x v="0"/>
    <x v="346"/>
  </r>
  <r>
    <n v="354"/>
    <x v="142"/>
    <x v="0"/>
    <x v="8"/>
    <x v="143"/>
    <x v="4"/>
    <x v="2"/>
    <x v="144"/>
    <x v="2"/>
    <x v="0"/>
    <x v="20"/>
    <x v="15"/>
    <x v="3"/>
    <x v="1"/>
    <x v="8"/>
    <x v="313"/>
    <x v="336"/>
    <x v="4"/>
    <x v="2"/>
    <x v="347"/>
  </r>
  <r>
    <n v="355"/>
    <x v="143"/>
    <x v="0"/>
    <x v="3"/>
    <x v="144"/>
    <x v="3"/>
    <x v="1"/>
    <x v="145"/>
    <x v="0"/>
    <x v="0"/>
    <x v="20"/>
    <x v="15"/>
    <x v="3"/>
    <x v="0"/>
    <x v="0"/>
    <x v="314"/>
    <x v="337"/>
    <x v="5"/>
    <x v="2"/>
    <x v="348"/>
  </r>
  <r>
    <n v="356"/>
    <x v="143"/>
    <x v="0"/>
    <x v="3"/>
    <x v="144"/>
    <x v="3"/>
    <x v="1"/>
    <x v="145"/>
    <x v="0"/>
    <x v="0"/>
    <x v="20"/>
    <x v="15"/>
    <x v="3"/>
    <x v="1"/>
    <x v="12"/>
    <x v="315"/>
    <x v="338"/>
    <x v="0"/>
    <x v="0"/>
    <x v="349"/>
  </r>
  <r>
    <n v="357"/>
    <x v="143"/>
    <x v="0"/>
    <x v="3"/>
    <x v="144"/>
    <x v="3"/>
    <x v="1"/>
    <x v="145"/>
    <x v="0"/>
    <x v="0"/>
    <x v="20"/>
    <x v="15"/>
    <x v="3"/>
    <x v="1"/>
    <x v="6"/>
    <x v="316"/>
    <x v="339"/>
    <x v="4"/>
    <x v="0"/>
    <x v="350"/>
  </r>
  <r>
    <n v="358"/>
    <x v="143"/>
    <x v="0"/>
    <x v="3"/>
    <x v="144"/>
    <x v="3"/>
    <x v="1"/>
    <x v="145"/>
    <x v="0"/>
    <x v="0"/>
    <x v="20"/>
    <x v="15"/>
    <x v="3"/>
    <x v="1"/>
    <x v="10"/>
    <x v="317"/>
    <x v="340"/>
    <x v="2"/>
    <x v="0"/>
    <x v="351"/>
  </r>
  <r>
    <n v="359"/>
    <x v="131"/>
    <x v="0"/>
    <x v="3"/>
    <x v="145"/>
    <x v="3"/>
    <x v="1"/>
    <x v="96"/>
    <x v="1"/>
    <x v="0"/>
    <x v="35"/>
    <x v="3"/>
    <x v="0"/>
    <x v="1"/>
    <x v="10"/>
    <x v="186"/>
    <x v="341"/>
    <x v="2"/>
    <x v="2"/>
    <x v="352"/>
  </r>
  <r>
    <n v="360"/>
    <x v="144"/>
    <x v="3"/>
    <x v="10"/>
    <x v="146"/>
    <x v="0"/>
    <x v="2"/>
    <x v="146"/>
    <x v="1"/>
    <x v="0"/>
    <x v="38"/>
    <x v="32"/>
    <x v="0"/>
    <x v="1"/>
    <x v="9"/>
    <x v="318"/>
    <x v="342"/>
    <x v="8"/>
    <x v="0"/>
    <x v="353"/>
  </r>
  <r>
    <n v="361"/>
    <x v="144"/>
    <x v="3"/>
    <x v="10"/>
    <x v="146"/>
    <x v="0"/>
    <x v="2"/>
    <x v="146"/>
    <x v="1"/>
    <x v="0"/>
    <x v="38"/>
    <x v="32"/>
    <x v="0"/>
    <x v="1"/>
    <x v="2"/>
    <x v="319"/>
    <x v="343"/>
    <x v="0"/>
    <x v="0"/>
    <x v="354"/>
  </r>
  <r>
    <n v="362"/>
    <x v="145"/>
    <x v="3"/>
    <x v="8"/>
    <x v="147"/>
    <x v="5"/>
    <x v="1"/>
    <x v="147"/>
    <x v="0"/>
    <x v="0"/>
    <x v="20"/>
    <x v="15"/>
    <x v="3"/>
    <x v="1"/>
    <x v="2"/>
    <x v="319"/>
    <x v="343"/>
    <x v="0"/>
    <x v="0"/>
    <x v="354"/>
  </r>
  <r>
    <n v="363"/>
    <x v="145"/>
    <x v="3"/>
    <x v="8"/>
    <x v="147"/>
    <x v="5"/>
    <x v="1"/>
    <x v="147"/>
    <x v="0"/>
    <x v="0"/>
    <x v="20"/>
    <x v="15"/>
    <x v="3"/>
    <x v="0"/>
    <x v="1"/>
    <x v="320"/>
    <x v="344"/>
    <x v="1"/>
    <x v="9"/>
    <x v="355"/>
  </r>
  <r>
    <n v="364"/>
    <x v="145"/>
    <x v="3"/>
    <x v="8"/>
    <x v="147"/>
    <x v="5"/>
    <x v="1"/>
    <x v="147"/>
    <x v="0"/>
    <x v="0"/>
    <x v="20"/>
    <x v="15"/>
    <x v="3"/>
    <x v="1"/>
    <x v="6"/>
    <x v="321"/>
    <x v="345"/>
    <x v="0"/>
    <x v="0"/>
    <x v="356"/>
  </r>
  <r>
    <n v="365"/>
    <x v="145"/>
    <x v="3"/>
    <x v="8"/>
    <x v="147"/>
    <x v="5"/>
    <x v="1"/>
    <x v="147"/>
    <x v="0"/>
    <x v="0"/>
    <x v="20"/>
    <x v="15"/>
    <x v="3"/>
    <x v="0"/>
    <x v="5"/>
    <x v="322"/>
    <x v="346"/>
    <x v="8"/>
    <x v="0"/>
    <x v="357"/>
  </r>
  <r>
    <n v="366"/>
    <x v="146"/>
    <x v="2"/>
    <x v="8"/>
    <x v="148"/>
    <x v="3"/>
    <x v="1"/>
    <x v="148"/>
    <x v="0"/>
    <x v="0"/>
    <x v="8"/>
    <x v="1"/>
    <x v="1"/>
    <x v="1"/>
    <x v="4"/>
    <x v="45"/>
    <x v="46"/>
    <x v="4"/>
    <x v="0"/>
    <x v="46"/>
  </r>
  <r>
    <n v="367"/>
    <x v="147"/>
    <x v="0"/>
    <x v="2"/>
    <x v="149"/>
    <x v="7"/>
    <x v="3"/>
    <x v="149"/>
    <x v="1"/>
    <x v="0"/>
    <x v="91"/>
    <x v="29"/>
    <x v="3"/>
    <x v="1"/>
    <x v="8"/>
    <x v="323"/>
    <x v="347"/>
    <x v="4"/>
    <x v="0"/>
    <x v="358"/>
  </r>
  <r>
    <n v="368"/>
    <x v="147"/>
    <x v="0"/>
    <x v="2"/>
    <x v="149"/>
    <x v="7"/>
    <x v="3"/>
    <x v="149"/>
    <x v="1"/>
    <x v="0"/>
    <x v="91"/>
    <x v="29"/>
    <x v="3"/>
    <x v="1"/>
    <x v="14"/>
    <x v="33"/>
    <x v="348"/>
    <x v="0"/>
    <x v="0"/>
    <x v="359"/>
  </r>
  <r>
    <n v="369"/>
    <x v="147"/>
    <x v="0"/>
    <x v="2"/>
    <x v="149"/>
    <x v="7"/>
    <x v="3"/>
    <x v="149"/>
    <x v="1"/>
    <x v="0"/>
    <x v="91"/>
    <x v="29"/>
    <x v="3"/>
    <x v="1"/>
    <x v="4"/>
    <x v="324"/>
    <x v="349"/>
    <x v="3"/>
    <x v="0"/>
    <x v="360"/>
  </r>
  <r>
    <n v="370"/>
    <x v="147"/>
    <x v="0"/>
    <x v="2"/>
    <x v="149"/>
    <x v="7"/>
    <x v="3"/>
    <x v="149"/>
    <x v="1"/>
    <x v="0"/>
    <x v="91"/>
    <x v="29"/>
    <x v="3"/>
    <x v="0"/>
    <x v="0"/>
    <x v="37"/>
    <x v="350"/>
    <x v="4"/>
    <x v="0"/>
    <x v="361"/>
  </r>
  <r>
    <n v="371"/>
    <x v="148"/>
    <x v="3"/>
    <x v="5"/>
    <x v="150"/>
    <x v="5"/>
    <x v="1"/>
    <x v="150"/>
    <x v="0"/>
    <x v="0"/>
    <x v="92"/>
    <x v="5"/>
    <x v="2"/>
    <x v="1"/>
    <x v="10"/>
    <x v="325"/>
    <x v="233"/>
    <x v="2"/>
    <x v="2"/>
    <x v="235"/>
  </r>
  <r>
    <n v="372"/>
    <x v="148"/>
    <x v="3"/>
    <x v="5"/>
    <x v="150"/>
    <x v="5"/>
    <x v="1"/>
    <x v="150"/>
    <x v="0"/>
    <x v="0"/>
    <x v="92"/>
    <x v="5"/>
    <x v="2"/>
    <x v="1"/>
    <x v="4"/>
    <x v="326"/>
    <x v="351"/>
    <x v="1"/>
    <x v="2"/>
    <x v="362"/>
  </r>
  <r>
    <n v="373"/>
    <x v="149"/>
    <x v="2"/>
    <x v="7"/>
    <x v="151"/>
    <x v="1"/>
    <x v="1"/>
    <x v="151"/>
    <x v="0"/>
    <x v="0"/>
    <x v="93"/>
    <x v="16"/>
    <x v="1"/>
    <x v="1"/>
    <x v="8"/>
    <x v="301"/>
    <x v="352"/>
    <x v="2"/>
    <x v="6"/>
    <x v="363"/>
  </r>
  <r>
    <n v="374"/>
    <x v="149"/>
    <x v="2"/>
    <x v="7"/>
    <x v="151"/>
    <x v="1"/>
    <x v="1"/>
    <x v="151"/>
    <x v="0"/>
    <x v="0"/>
    <x v="93"/>
    <x v="16"/>
    <x v="1"/>
    <x v="2"/>
    <x v="11"/>
    <x v="327"/>
    <x v="353"/>
    <x v="8"/>
    <x v="2"/>
    <x v="364"/>
  </r>
  <r>
    <n v="375"/>
    <x v="149"/>
    <x v="2"/>
    <x v="7"/>
    <x v="151"/>
    <x v="1"/>
    <x v="1"/>
    <x v="151"/>
    <x v="0"/>
    <x v="0"/>
    <x v="93"/>
    <x v="16"/>
    <x v="1"/>
    <x v="1"/>
    <x v="6"/>
    <x v="328"/>
    <x v="354"/>
    <x v="7"/>
    <x v="2"/>
    <x v="365"/>
  </r>
  <r>
    <n v="376"/>
    <x v="149"/>
    <x v="2"/>
    <x v="7"/>
    <x v="151"/>
    <x v="1"/>
    <x v="1"/>
    <x v="151"/>
    <x v="0"/>
    <x v="0"/>
    <x v="93"/>
    <x v="16"/>
    <x v="1"/>
    <x v="2"/>
    <x v="11"/>
    <x v="329"/>
    <x v="355"/>
    <x v="12"/>
    <x v="2"/>
    <x v="366"/>
  </r>
  <r>
    <n v="377"/>
    <x v="150"/>
    <x v="0"/>
    <x v="8"/>
    <x v="152"/>
    <x v="0"/>
    <x v="2"/>
    <x v="152"/>
    <x v="1"/>
    <x v="0"/>
    <x v="94"/>
    <x v="10"/>
    <x v="2"/>
    <x v="1"/>
    <x v="10"/>
    <x v="330"/>
    <x v="304"/>
    <x v="4"/>
    <x v="2"/>
    <x v="367"/>
  </r>
  <r>
    <n v="378"/>
    <x v="151"/>
    <x v="3"/>
    <x v="6"/>
    <x v="153"/>
    <x v="3"/>
    <x v="1"/>
    <x v="153"/>
    <x v="1"/>
    <x v="0"/>
    <x v="47"/>
    <x v="31"/>
    <x v="3"/>
    <x v="0"/>
    <x v="3"/>
    <x v="331"/>
    <x v="356"/>
    <x v="3"/>
    <x v="4"/>
    <x v="368"/>
  </r>
  <r>
    <n v="379"/>
    <x v="152"/>
    <x v="1"/>
    <x v="3"/>
    <x v="27"/>
    <x v="2"/>
    <x v="1"/>
    <x v="154"/>
    <x v="0"/>
    <x v="0"/>
    <x v="12"/>
    <x v="5"/>
    <x v="2"/>
    <x v="1"/>
    <x v="9"/>
    <x v="332"/>
    <x v="357"/>
    <x v="1"/>
    <x v="3"/>
    <x v="369"/>
  </r>
  <r>
    <n v="380"/>
    <x v="152"/>
    <x v="1"/>
    <x v="3"/>
    <x v="27"/>
    <x v="2"/>
    <x v="1"/>
    <x v="154"/>
    <x v="0"/>
    <x v="0"/>
    <x v="12"/>
    <x v="5"/>
    <x v="2"/>
    <x v="1"/>
    <x v="4"/>
    <x v="333"/>
    <x v="358"/>
    <x v="1"/>
    <x v="2"/>
    <x v="370"/>
  </r>
  <r>
    <n v="381"/>
    <x v="152"/>
    <x v="1"/>
    <x v="3"/>
    <x v="27"/>
    <x v="2"/>
    <x v="1"/>
    <x v="154"/>
    <x v="0"/>
    <x v="0"/>
    <x v="12"/>
    <x v="5"/>
    <x v="2"/>
    <x v="1"/>
    <x v="8"/>
    <x v="334"/>
    <x v="359"/>
    <x v="4"/>
    <x v="3"/>
    <x v="371"/>
  </r>
  <r>
    <n v="382"/>
    <x v="99"/>
    <x v="0"/>
    <x v="2"/>
    <x v="154"/>
    <x v="6"/>
    <x v="2"/>
    <x v="155"/>
    <x v="1"/>
    <x v="0"/>
    <x v="8"/>
    <x v="1"/>
    <x v="1"/>
    <x v="1"/>
    <x v="10"/>
    <x v="335"/>
    <x v="360"/>
    <x v="3"/>
    <x v="0"/>
    <x v="372"/>
  </r>
  <r>
    <n v="383"/>
    <x v="99"/>
    <x v="0"/>
    <x v="2"/>
    <x v="154"/>
    <x v="6"/>
    <x v="2"/>
    <x v="155"/>
    <x v="1"/>
    <x v="0"/>
    <x v="8"/>
    <x v="1"/>
    <x v="1"/>
    <x v="1"/>
    <x v="8"/>
    <x v="336"/>
    <x v="361"/>
    <x v="1"/>
    <x v="2"/>
    <x v="373"/>
  </r>
  <r>
    <n v="384"/>
    <x v="153"/>
    <x v="1"/>
    <x v="1"/>
    <x v="155"/>
    <x v="0"/>
    <x v="0"/>
    <x v="156"/>
    <x v="1"/>
    <x v="0"/>
    <x v="79"/>
    <x v="12"/>
    <x v="2"/>
    <x v="2"/>
    <x v="11"/>
    <x v="337"/>
    <x v="362"/>
    <x v="0"/>
    <x v="0"/>
    <x v="374"/>
  </r>
  <r>
    <n v="385"/>
    <x v="154"/>
    <x v="1"/>
    <x v="0"/>
    <x v="156"/>
    <x v="3"/>
    <x v="1"/>
    <x v="157"/>
    <x v="0"/>
    <x v="0"/>
    <x v="95"/>
    <x v="2"/>
    <x v="0"/>
    <x v="0"/>
    <x v="3"/>
    <x v="338"/>
    <x v="363"/>
    <x v="1"/>
    <x v="1"/>
    <x v="375"/>
  </r>
  <r>
    <n v="386"/>
    <x v="154"/>
    <x v="1"/>
    <x v="0"/>
    <x v="156"/>
    <x v="3"/>
    <x v="1"/>
    <x v="157"/>
    <x v="0"/>
    <x v="0"/>
    <x v="95"/>
    <x v="2"/>
    <x v="0"/>
    <x v="2"/>
    <x v="11"/>
    <x v="339"/>
    <x v="364"/>
    <x v="1"/>
    <x v="2"/>
    <x v="376"/>
  </r>
  <r>
    <n v="387"/>
    <x v="155"/>
    <x v="1"/>
    <x v="4"/>
    <x v="157"/>
    <x v="1"/>
    <x v="1"/>
    <x v="158"/>
    <x v="1"/>
    <x v="0"/>
    <x v="10"/>
    <x v="9"/>
    <x v="3"/>
    <x v="2"/>
    <x v="15"/>
    <x v="340"/>
    <x v="365"/>
    <x v="4"/>
    <x v="6"/>
    <x v="377"/>
  </r>
  <r>
    <n v="388"/>
    <x v="155"/>
    <x v="1"/>
    <x v="4"/>
    <x v="157"/>
    <x v="1"/>
    <x v="1"/>
    <x v="158"/>
    <x v="1"/>
    <x v="0"/>
    <x v="10"/>
    <x v="9"/>
    <x v="3"/>
    <x v="0"/>
    <x v="5"/>
    <x v="341"/>
    <x v="366"/>
    <x v="7"/>
    <x v="2"/>
    <x v="378"/>
  </r>
  <r>
    <n v="389"/>
    <x v="156"/>
    <x v="2"/>
    <x v="0"/>
    <x v="158"/>
    <x v="4"/>
    <x v="2"/>
    <x v="159"/>
    <x v="0"/>
    <x v="0"/>
    <x v="74"/>
    <x v="24"/>
    <x v="3"/>
    <x v="1"/>
    <x v="6"/>
    <x v="342"/>
    <x v="367"/>
    <x v="7"/>
    <x v="2"/>
    <x v="379"/>
  </r>
  <r>
    <n v="390"/>
    <x v="157"/>
    <x v="3"/>
    <x v="4"/>
    <x v="159"/>
    <x v="1"/>
    <x v="1"/>
    <x v="160"/>
    <x v="0"/>
    <x v="0"/>
    <x v="20"/>
    <x v="15"/>
    <x v="3"/>
    <x v="1"/>
    <x v="8"/>
    <x v="343"/>
    <x v="368"/>
    <x v="4"/>
    <x v="2"/>
    <x v="380"/>
  </r>
  <r>
    <n v="391"/>
    <x v="157"/>
    <x v="3"/>
    <x v="4"/>
    <x v="159"/>
    <x v="1"/>
    <x v="1"/>
    <x v="160"/>
    <x v="0"/>
    <x v="0"/>
    <x v="20"/>
    <x v="15"/>
    <x v="3"/>
    <x v="2"/>
    <x v="11"/>
    <x v="84"/>
    <x v="369"/>
    <x v="0"/>
    <x v="0"/>
    <x v="381"/>
  </r>
  <r>
    <n v="392"/>
    <x v="158"/>
    <x v="2"/>
    <x v="8"/>
    <x v="160"/>
    <x v="4"/>
    <x v="0"/>
    <x v="161"/>
    <x v="0"/>
    <x v="0"/>
    <x v="96"/>
    <x v="4"/>
    <x v="1"/>
    <x v="2"/>
    <x v="7"/>
    <x v="344"/>
    <x v="370"/>
    <x v="0"/>
    <x v="2"/>
    <x v="382"/>
  </r>
  <r>
    <n v="393"/>
    <x v="158"/>
    <x v="2"/>
    <x v="8"/>
    <x v="160"/>
    <x v="4"/>
    <x v="0"/>
    <x v="161"/>
    <x v="0"/>
    <x v="0"/>
    <x v="96"/>
    <x v="4"/>
    <x v="1"/>
    <x v="2"/>
    <x v="16"/>
    <x v="345"/>
    <x v="371"/>
    <x v="1"/>
    <x v="0"/>
    <x v="383"/>
  </r>
  <r>
    <n v="394"/>
    <x v="159"/>
    <x v="2"/>
    <x v="1"/>
    <x v="161"/>
    <x v="0"/>
    <x v="0"/>
    <x v="162"/>
    <x v="1"/>
    <x v="0"/>
    <x v="97"/>
    <x v="10"/>
    <x v="2"/>
    <x v="1"/>
    <x v="8"/>
    <x v="346"/>
    <x v="372"/>
    <x v="1"/>
    <x v="3"/>
    <x v="384"/>
  </r>
  <r>
    <n v="395"/>
    <x v="160"/>
    <x v="3"/>
    <x v="7"/>
    <x v="162"/>
    <x v="3"/>
    <x v="1"/>
    <x v="163"/>
    <x v="2"/>
    <x v="0"/>
    <x v="98"/>
    <x v="33"/>
    <x v="1"/>
    <x v="1"/>
    <x v="8"/>
    <x v="347"/>
    <x v="373"/>
    <x v="1"/>
    <x v="2"/>
    <x v="385"/>
  </r>
  <r>
    <n v="396"/>
    <x v="161"/>
    <x v="3"/>
    <x v="2"/>
    <x v="163"/>
    <x v="4"/>
    <x v="0"/>
    <x v="164"/>
    <x v="1"/>
    <x v="0"/>
    <x v="99"/>
    <x v="34"/>
    <x v="3"/>
    <x v="1"/>
    <x v="4"/>
    <x v="348"/>
    <x v="374"/>
    <x v="0"/>
    <x v="0"/>
    <x v="386"/>
  </r>
  <r>
    <n v="397"/>
    <x v="161"/>
    <x v="3"/>
    <x v="2"/>
    <x v="163"/>
    <x v="4"/>
    <x v="0"/>
    <x v="164"/>
    <x v="1"/>
    <x v="0"/>
    <x v="99"/>
    <x v="34"/>
    <x v="3"/>
    <x v="1"/>
    <x v="10"/>
    <x v="349"/>
    <x v="91"/>
    <x v="0"/>
    <x v="0"/>
    <x v="91"/>
  </r>
  <r>
    <n v="398"/>
    <x v="89"/>
    <x v="1"/>
    <x v="2"/>
    <x v="164"/>
    <x v="1"/>
    <x v="1"/>
    <x v="6"/>
    <x v="2"/>
    <x v="0"/>
    <x v="25"/>
    <x v="12"/>
    <x v="2"/>
    <x v="1"/>
    <x v="14"/>
    <x v="350"/>
    <x v="375"/>
    <x v="4"/>
    <x v="0"/>
    <x v="387"/>
  </r>
  <r>
    <n v="399"/>
    <x v="162"/>
    <x v="0"/>
    <x v="8"/>
    <x v="165"/>
    <x v="4"/>
    <x v="0"/>
    <x v="165"/>
    <x v="0"/>
    <x v="0"/>
    <x v="12"/>
    <x v="5"/>
    <x v="2"/>
    <x v="1"/>
    <x v="4"/>
    <x v="351"/>
    <x v="376"/>
    <x v="1"/>
    <x v="2"/>
    <x v="388"/>
  </r>
  <r>
    <n v="400"/>
    <x v="162"/>
    <x v="0"/>
    <x v="8"/>
    <x v="165"/>
    <x v="4"/>
    <x v="0"/>
    <x v="165"/>
    <x v="0"/>
    <x v="0"/>
    <x v="12"/>
    <x v="5"/>
    <x v="2"/>
    <x v="0"/>
    <x v="0"/>
    <x v="26"/>
    <x v="377"/>
    <x v="4"/>
    <x v="8"/>
    <x v="389"/>
  </r>
  <r>
    <n v="401"/>
    <x v="162"/>
    <x v="0"/>
    <x v="8"/>
    <x v="165"/>
    <x v="4"/>
    <x v="0"/>
    <x v="165"/>
    <x v="0"/>
    <x v="0"/>
    <x v="12"/>
    <x v="5"/>
    <x v="2"/>
    <x v="1"/>
    <x v="4"/>
    <x v="352"/>
    <x v="378"/>
    <x v="4"/>
    <x v="2"/>
    <x v="390"/>
  </r>
  <r>
    <n v="402"/>
    <x v="162"/>
    <x v="0"/>
    <x v="8"/>
    <x v="165"/>
    <x v="4"/>
    <x v="0"/>
    <x v="165"/>
    <x v="0"/>
    <x v="0"/>
    <x v="12"/>
    <x v="5"/>
    <x v="2"/>
    <x v="2"/>
    <x v="11"/>
    <x v="353"/>
    <x v="379"/>
    <x v="0"/>
    <x v="2"/>
    <x v="391"/>
  </r>
  <r>
    <n v="403"/>
    <x v="163"/>
    <x v="2"/>
    <x v="4"/>
    <x v="166"/>
    <x v="4"/>
    <x v="2"/>
    <x v="166"/>
    <x v="0"/>
    <x v="0"/>
    <x v="100"/>
    <x v="2"/>
    <x v="0"/>
    <x v="1"/>
    <x v="10"/>
    <x v="354"/>
    <x v="380"/>
    <x v="0"/>
    <x v="2"/>
    <x v="392"/>
  </r>
  <r>
    <n v="404"/>
    <x v="164"/>
    <x v="2"/>
    <x v="3"/>
    <x v="167"/>
    <x v="1"/>
    <x v="1"/>
    <x v="70"/>
    <x v="1"/>
    <x v="0"/>
    <x v="40"/>
    <x v="3"/>
    <x v="0"/>
    <x v="1"/>
    <x v="6"/>
    <x v="355"/>
    <x v="381"/>
    <x v="5"/>
    <x v="2"/>
    <x v="393"/>
  </r>
  <r>
    <n v="405"/>
    <x v="165"/>
    <x v="3"/>
    <x v="4"/>
    <x v="168"/>
    <x v="3"/>
    <x v="1"/>
    <x v="167"/>
    <x v="0"/>
    <x v="0"/>
    <x v="20"/>
    <x v="15"/>
    <x v="3"/>
    <x v="1"/>
    <x v="9"/>
    <x v="33"/>
    <x v="382"/>
    <x v="1"/>
    <x v="0"/>
    <x v="394"/>
  </r>
  <r>
    <n v="406"/>
    <x v="166"/>
    <x v="3"/>
    <x v="4"/>
    <x v="169"/>
    <x v="1"/>
    <x v="1"/>
    <x v="168"/>
    <x v="0"/>
    <x v="0"/>
    <x v="8"/>
    <x v="1"/>
    <x v="1"/>
    <x v="2"/>
    <x v="11"/>
    <x v="353"/>
    <x v="383"/>
    <x v="2"/>
    <x v="0"/>
    <x v="395"/>
  </r>
  <r>
    <n v="407"/>
    <x v="166"/>
    <x v="3"/>
    <x v="4"/>
    <x v="169"/>
    <x v="1"/>
    <x v="1"/>
    <x v="168"/>
    <x v="0"/>
    <x v="0"/>
    <x v="8"/>
    <x v="1"/>
    <x v="1"/>
    <x v="2"/>
    <x v="16"/>
    <x v="356"/>
    <x v="384"/>
    <x v="1"/>
    <x v="2"/>
    <x v="396"/>
  </r>
  <r>
    <n v="408"/>
    <x v="166"/>
    <x v="3"/>
    <x v="4"/>
    <x v="169"/>
    <x v="1"/>
    <x v="1"/>
    <x v="168"/>
    <x v="0"/>
    <x v="0"/>
    <x v="8"/>
    <x v="1"/>
    <x v="1"/>
    <x v="1"/>
    <x v="10"/>
    <x v="357"/>
    <x v="385"/>
    <x v="2"/>
    <x v="0"/>
    <x v="397"/>
  </r>
  <r>
    <n v="409"/>
    <x v="166"/>
    <x v="3"/>
    <x v="4"/>
    <x v="169"/>
    <x v="1"/>
    <x v="1"/>
    <x v="168"/>
    <x v="0"/>
    <x v="0"/>
    <x v="8"/>
    <x v="1"/>
    <x v="1"/>
    <x v="0"/>
    <x v="3"/>
    <x v="358"/>
    <x v="386"/>
    <x v="3"/>
    <x v="2"/>
    <x v="398"/>
  </r>
  <r>
    <n v="410"/>
    <x v="166"/>
    <x v="3"/>
    <x v="4"/>
    <x v="169"/>
    <x v="1"/>
    <x v="1"/>
    <x v="168"/>
    <x v="0"/>
    <x v="0"/>
    <x v="8"/>
    <x v="1"/>
    <x v="1"/>
    <x v="1"/>
    <x v="10"/>
    <x v="359"/>
    <x v="387"/>
    <x v="7"/>
    <x v="0"/>
    <x v="399"/>
  </r>
  <r>
    <n v="411"/>
    <x v="166"/>
    <x v="3"/>
    <x v="4"/>
    <x v="169"/>
    <x v="1"/>
    <x v="1"/>
    <x v="168"/>
    <x v="0"/>
    <x v="0"/>
    <x v="8"/>
    <x v="1"/>
    <x v="1"/>
    <x v="1"/>
    <x v="2"/>
    <x v="360"/>
    <x v="388"/>
    <x v="6"/>
    <x v="0"/>
    <x v="400"/>
  </r>
  <r>
    <n v="412"/>
    <x v="166"/>
    <x v="3"/>
    <x v="4"/>
    <x v="169"/>
    <x v="1"/>
    <x v="1"/>
    <x v="168"/>
    <x v="0"/>
    <x v="0"/>
    <x v="8"/>
    <x v="1"/>
    <x v="1"/>
    <x v="1"/>
    <x v="10"/>
    <x v="361"/>
    <x v="389"/>
    <x v="7"/>
    <x v="0"/>
    <x v="401"/>
  </r>
  <r>
    <n v="413"/>
    <x v="166"/>
    <x v="3"/>
    <x v="4"/>
    <x v="169"/>
    <x v="1"/>
    <x v="1"/>
    <x v="168"/>
    <x v="0"/>
    <x v="0"/>
    <x v="8"/>
    <x v="1"/>
    <x v="1"/>
    <x v="0"/>
    <x v="0"/>
    <x v="362"/>
    <x v="390"/>
    <x v="11"/>
    <x v="11"/>
    <x v="402"/>
  </r>
  <r>
    <n v="414"/>
    <x v="166"/>
    <x v="3"/>
    <x v="4"/>
    <x v="169"/>
    <x v="1"/>
    <x v="1"/>
    <x v="168"/>
    <x v="0"/>
    <x v="0"/>
    <x v="8"/>
    <x v="1"/>
    <x v="1"/>
    <x v="0"/>
    <x v="1"/>
    <x v="363"/>
    <x v="391"/>
    <x v="0"/>
    <x v="2"/>
    <x v="403"/>
  </r>
  <r>
    <n v="415"/>
    <x v="132"/>
    <x v="3"/>
    <x v="0"/>
    <x v="170"/>
    <x v="1"/>
    <x v="1"/>
    <x v="169"/>
    <x v="1"/>
    <x v="0"/>
    <x v="4"/>
    <x v="4"/>
    <x v="1"/>
    <x v="1"/>
    <x v="10"/>
    <x v="364"/>
    <x v="392"/>
    <x v="3"/>
    <x v="0"/>
    <x v="404"/>
  </r>
  <r>
    <n v="416"/>
    <x v="132"/>
    <x v="3"/>
    <x v="0"/>
    <x v="170"/>
    <x v="1"/>
    <x v="1"/>
    <x v="169"/>
    <x v="1"/>
    <x v="0"/>
    <x v="4"/>
    <x v="4"/>
    <x v="1"/>
    <x v="0"/>
    <x v="1"/>
    <x v="265"/>
    <x v="393"/>
    <x v="4"/>
    <x v="2"/>
    <x v="405"/>
  </r>
  <r>
    <n v="417"/>
    <x v="92"/>
    <x v="3"/>
    <x v="1"/>
    <x v="171"/>
    <x v="1"/>
    <x v="1"/>
    <x v="170"/>
    <x v="0"/>
    <x v="0"/>
    <x v="101"/>
    <x v="1"/>
    <x v="1"/>
    <x v="1"/>
    <x v="6"/>
    <x v="365"/>
    <x v="394"/>
    <x v="8"/>
    <x v="0"/>
    <x v="406"/>
  </r>
  <r>
    <n v="418"/>
    <x v="167"/>
    <x v="0"/>
    <x v="3"/>
    <x v="172"/>
    <x v="1"/>
    <x v="1"/>
    <x v="171"/>
    <x v="0"/>
    <x v="0"/>
    <x v="1"/>
    <x v="1"/>
    <x v="1"/>
    <x v="0"/>
    <x v="1"/>
    <x v="366"/>
    <x v="395"/>
    <x v="2"/>
    <x v="2"/>
    <x v="407"/>
  </r>
  <r>
    <n v="419"/>
    <x v="44"/>
    <x v="3"/>
    <x v="0"/>
    <x v="173"/>
    <x v="1"/>
    <x v="1"/>
    <x v="146"/>
    <x v="1"/>
    <x v="0"/>
    <x v="102"/>
    <x v="0"/>
    <x v="0"/>
    <x v="1"/>
    <x v="10"/>
    <x v="367"/>
    <x v="396"/>
    <x v="7"/>
    <x v="0"/>
    <x v="408"/>
  </r>
  <r>
    <n v="420"/>
    <x v="168"/>
    <x v="3"/>
    <x v="10"/>
    <x v="174"/>
    <x v="3"/>
    <x v="1"/>
    <x v="133"/>
    <x v="1"/>
    <x v="0"/>
    <x v="1"/>
    <x v="1"/>
    <x v="1"/>
    <x v="1"/>
    <x v="6"/>
    <x v="368"/>
    <x v="397"/>
    <x v="4"/>
    <x v="0"/>
    <x v="409"/>
  </r>
  <r>
    <n v="421"/>
    <x v="168"/>
    <x v="3"/>
    <x v="10"/>
    <x v="174"/>
    <x v="3"/>
    <x v="1"/>
    <x v="133"/>
    <x v="1"/>
    <x v="0"/>
    <x v="1"/>
    <x v="1"/>
    <x v="1"/>
    <x v="1"/>
    <x v="12"/>
    <x v="369"/>
    <x v="398"/>
    <x v="7"/>
    <x v="0"/>
    <x v="410"/>
  </r>
  <r>
    <n v="422"/>
    <x v="169"/>
    <x v="2"/>
    <x v="1"/>
    <x v="175"/>
    <x v="0"/>
    <x v="2"/>
    <x v="32"/>
    <x v="0"/>
    <x v="0"/>
    <x v="103"/>
    <x v="22"/>
    <x v="1"/>
    <x v="2"/>
    <x v="11"/>
    <x v="370"/>
    <x v="399"/>
    <x v="5"/>
    <x v="2"/>
    <x v="411"/>
  </r>
  <r>
    <n v="423"/>
    <x v="15"/>
    <x v="3"/>
    <x v="2"/>
    <x v="15"/>
    <x v="1"/>
    <x v="1"/>
    <x v="172"/>
    <x v="1"/>
    <x v="0"/>
    <x v="104"/>
    <x v="31"/>
    <x v="3"/>
    <x v="0"/>
    <x v="5"/>
    <x v="371"/>
    <x v="400"/>
    <x v="4"/>
    <x v="0"/>
    <x v="412"/>
  </r>
  <r>
    <n v="424"/>
    <x v="15"/>
    <x v="3"/>
    <x v="2"/>
    <x v="15"/>
    <x v="1"/>
    <x v="1"/>
    <x v="172"/>
    <x v="1"/>
    <x v="0"/>
    <x v="104"/>
    <x v="31"/>
    <x v="3"/>
    <x v="1"/>
    <x v="4"/>
    <x v="372"/>
    <x v="401"/>
    <x v="1"/>
    <x v="0"/>
    <x v="413"/>
  </r>
  <r>
    <n v="425"/>
    <x v="170"/>
    <x v="3"/>
    <x v="6"/>
    <x v="176"/>
    <x v="4"/>
    <x v="0"/>
    <x v="173"/>
    <x v="0"/>
    <x v="0"/>
    <x v="25"/>
    <x v="35"/>
    <x v="0"/>
    <x v="0"/>
    <x v="1"/>
    <x v="373"/>
    <x v="402"/>
    <x v="4"/>
    <x v="0"/>
    <x v="414"/>
  </r>
  <r>
    <n v="426"/>
    <x v="51"/>
    <x v="3"/>
    <x v="0"/>
    <x v="177"/>
    <x v="0"/>
    <x v="0"/>
    <x v="25"/>
    <x v="1"/>
    <x v="0"/>
    <x v="105"/>
    <x v="12"/>
    <x v="2"/>
    <x v="0"/>
    <x v="5"/>
    <x v="374"/>
    <x v="158"/>
    <x v="0"/>
    <x v="0"/>
    <x v="415"/>
  </r>
  <r>
    <n v="427"/>
    <x v="51"/>
    <x v="3"/>
    <x v="0"/>
    <x v="177"/>
    <x v="0"/>
    <x v="0"/>
    <x v="25"/>
    <x v="1"/>
    <x v="0"/>
    <x v="105"/>
    <x v="12"/>
    <x v="2"/>
    <x v="1"/>
    <x v="8"/>
    <x v="375"/>
    <x v="403"/>
    <x v="8"/>
    <x v="0"/>
    <x v="416"/>
  </r>
  <r>
    <n v="428"/>
    <x v="171"/>
    <x v="2"/>
    <x v="8"/>
    <x v="178"/>
    <x v="6"/>
    <x v="2"/>
    <x v="174"/>
    <x v="2"/>
    <x v="0"/>
    <x v="106"/>
    <x v="15"/>
    <x v="3"/>
    <x v="2"/>
    <x v="15"/>
    <x v="376"/>
    <x v="404"/>
    <x v="7"/>
    <x v="0"/>
    <x v="417"/>
  </r>
  <r>
    <n v="429"/>
    <x v="172"/>
    <x v="3"/>
    <x v="2"/>
    <x v="179"/>
    <x v="2"/>
    <x v="1"/>
    <x v="175"/>
    <x v="1"/>
    <x v="0"/>
    <x v="52"/>
    <x v="5"/>
    <x v="2"/>
    <x v="1"/>
    <x v="6"/>
    <x v="377"/>
    <x v="405"/>
    <x v="5"/>
    <x v="2"/>
    <x v="418"/>
  </r>
  <r>
    <n v="430"/>
    <x v="173"/>
    <x v="0"/>
    <x v="3"/>
    <x v="180"/>
    <x v="5"/>
    <x v="1"/>
    <x v="176"/>
    <x v="2"/>
    <x v="0"/>
    <x v="107"/>
    <x v="3"/>
    <x v="0"/>
    <x v="1"/>
    <x v="8"/>
    <x v="378"/>
    <x v="406"/>
    <x v="0"/>
    <x v="6"/>
    <x v="419"/>
  </r>
  <r>
    <n v="431"/>
    <x v="173"/>
    <x v="0"/>
    <x v="3"/>
    <x v="180"/>
    <x v="5"/>
    <x v="1"/>
    <x v="176"/>
    <x v="2"/>
    <x v="0"/>
    <x v="107"/>
    <x v="3"/>
    <x v="0"/>
    <x v="2"/>
    <x v="11"/>
    <x v="170"/>
    <x v="177"/>
    <x v="3"/>
    <x v="2"/>
    <x v="179"/>
  </r>
  <r>
    <n v="432"/>
    <x v="173"/>
    <x v="0"/>
    <x v="3"/>
    <x v="180"/>
    <x v="5"/>
    <x v="1"/>
    <x v="176"/>
    <x v="2"/>
    <x v="0"/>
    <x v="107"/>
    <x v="3"/>
    <x v="0"/>
    <x v="2"/>
    <x v="11"/>
    <x v="170"/>
    <x v="407"/>
    <x v="2"/>
    <x v="2"/>
    <x v="420"/>
  </r>
  <r>
    <n v="433"/>
    <x v="173"/>
    <x v="0"/>
    <x v="3"/>
    <x v="180"/>
    <x v="5"/>
    <x v="1"/>
    <x v="176"/>
    <x v="2"/>
    <x v="0"/>
    <x v="107"/>
    <x v="3"/>
    <x v="0"/>
    <x v="1"/>
    <x v="4"/>
    <x v="379"/>
    <x v="408"/>
    <x v="0"/>
    <x v="2"/>
    <x v="421"/>
  </r>
  <r>
    <n v="434"/>
    <x v="112"/>
    <x v="0"/>
    <x v="1"/>
    <x v="181"/>
    <x v="6"/>
    <x v="2"/>
    <x v="72"/>
    <x v="0"/>
    <x v="0"/>
    <x v="90"/>
    <x v="31"/>
    <x v="3"/>
    <x v="1"/>
    <x v="4"/>
    <x v="380"/>
    <x v="409"/>
    <x v="2"/>
    <x v="0"/>
    <x v="422"/>
  </r>
  <r>
    <n v="435"/>
    <x v="174"/>
    <x v="2"/>
    <x v="4"/>
    <x v="182"/>
    <x v="5"/>
    <x v="1"/>
    <x v="177"/>
    <x v="0"/>
    <x v="0"/>
    <x v="108"/>
    <x v="2"/>
    <x v="0"/>
    <x v="1"/>
    <x v="8"/>
    <x v="381"/>
    <x v="410"/>
    <x v="0"/>
    <x v="6"/>
    <x v="423"/>
  </r>
  <r>
    <n v="436"/>
    <x v="174"/>
    <x v="2"/>
    <x v="4"/>
    <x v="182"/>
    <x v="5"/>
    <x v="1"/>
    <x v="177"/>
    <x v="0"/>
    <x v="0"/>
    <x v="108"/>
    <x v="2"/>
    <x v="0"/>
    <x v="2"/>
    <x v="11"/>
    <x v="382"/>
    <x v="411"/>
    <x v="2"/>
    <x v="2"/>
    <x v="424"/>
  </r>
  <r>
    <n v="437"/>
    <x v="1"/>
    <x v="0"/>
    <x v="1"/>
    <x v="183"/>
    <x v="4"/>
    <x v="0"/>
    <x v="178"/>
    <x v="2"/>
    <x v="0"/>
    <x v="22"/>
    <x v="10"/>
    <x v="2"/>
    <x v="2"/>
    <x v="15"/>
    <x v="383"/>
    <x v="412"/>
    <x v="1"/>
    <x v="4"/>
    <x v="425"/>
  </r>
  <r>
    <n v="438"/>
    <x v="1"/>
    <x v="0"/>
    <x v="1"/>
    <x v="183"/>
    <x v="4"/>
    <x v="0"/>
    <x v="178"/>
    <x v="2"/>
    <x v="0"/>
    <x v="22"/>
    <x v="10"/>
    <x v="2"/>
    <x v="1"/>
    <x v="10"/>
    <x v="361"/>
    <x v="413"/>
    <x v="3"/>
    <x v="2"/>
    <x v="426"/>
  </r>
  <r>
    <n v="439"/>
    <x v="175"/>
    <x v="3"/>
    <x v="8"/>
    <x v="184"/>
    <x v="1"/>
    <x v="1"/>
    <x v="179"/>
    <x v="1"/>
    <x v="0"/>
    <x v="12"/>
    <x v="5"/>
    <x v="2"/>
    <x v="1"/>
    <x v="10"/>
    <x v="384"/>
    <x v="414"/>
    <x v="8"/>
    <x v="2"/>
    <x v="427"/>
  </r>
  <r>
    <n v="440"/>
    <x v="176"/>
    <x v="3"/>
    <x v="9"/>
    <x v="185"/>
    <x v="0"/>
    <x v="0"/>
    <x v="51"/>
    <x v="1"/>
    <x v="0"/>
    <x v="20"/>
    <x v="15"/>
    <x v="3"/>
    <x v="0"/>
    <x v="1"/>
    <x v="385"/>
    <x v="415"/>
    <x v="1"/>
    <x v="9"/>
    <x v="428"/>
  </r>
  <r>
    <n v="441"/>
    <x v="64"/>
    <x v="0"/>
    <x v="8"/>
    <x v="62"/>
    <x v="4"/>
    <x v="0"/>
    <x v="7"/>
    <x v="0"/>
    <x v="0"/>
    <x v="66"/>
    <x v="12"/>
    <x v="2"/>
    <x v="0"/>
    <x v="5"/>
    <x v="386"/>
    <x v="416"/>
    <x v="7"/>
    <x v="0"/>
    <x v="429"/>
  </r>
  <r>
    <n v="442"/>
    <x v="64"/>
    <x v="0"/>
    <x v="8"/>
    <x v="62"/>
    <x v="4"/>
    <x v="0"/>
    <x v="7"/>
    <x v="0"/>
    <x v="0"/>
    <x v="66"/>
    <x v="12"/>
    <x v="2"/>
    <x v="1"/>
    <x v="4"/>
    <x v="387"/>
    <x v="417"/>
    <x v="1"/>
    <x v="0"/>
    <x v="430"/>
  </r>
  <r>
    <n v="443"/>
    <x v="64"/>
    <x v="0"/>
    <x v="8"/>
    <x v="62"/>
    <x v="4"/>
    <x v="0"/>
    <x v="7"/>
    <x v="0"/>
    <x v="0"/>
    <x v="66"/>
    <x v="12"/>
    <x v="2"/>
    <x v="1"/>
    <x v="4"/>
    <x v="388"/>
    <x v="418"/>
    <x v="1"/>
    <x v="0"/>
    <x v="431"/>
  </r>
  <r>
    <n v="444"/>
    <x v="64"/>
    <x v="0"/>
    <x v="8"/>
    <x v="62"/>
    <x v="4"/>
    <x v="0"/>
    <x v="7"/>
    <x v="0"/>
    <x v="0"/>
    <x v="66"/>
    <x v="12"/>
    <x v="2"/>
    <x v="1"/>
    <x v="10"/>
    <x v="389"/>
    <x v="419"/>
    <x v="4"/>
    <x v="0"/>
    <x v="432"/>
  </r>
  <r>
    <n v="445"/>
    <x v="64"/>
    <x v="0"/>
    <x v="8"/>
    <x v="62"/>
    <x v="4"/>
    <x v="0"/>
    <x v="7"/>
    <x v="0"/>
    <x v="0"/>
    <x v="66"/>
    <x v="12"/>
    <x v="2"/>
    <x v="0"/>
    <x v="1"/>
    <x v="390"/>
    <x v="420"/>
    <x v="1"/>
    <x v="0"/>
    <x v="433"/>
  </r>
  <r>
    <n v="446"/>
    <x v="64"/>
    <x v="0"/>
    <x v="8"/>
    <x v="62"/>
    <x v="4"/>
    <x v="0"/>
    <x v="7"/>
    <x v="0"/>
    <x v="0"/>
    <x v="66"/>
    <x v="12"/>
    <x v="2"/>
    <x v="1"/>
    <x v="2"/>
    <x v="391"/>
    <x v="421"/>
    <x v="3"/>
    <x v="0"/>
    <x v="434"/>
  </r>
  <r>
    <n v="447"/>
    <x v="177"/>
    <x v="3"/>
    <x v="10"/>
    <x v="186"/>
    <x v="3"/>
    <x v="0"/>
    <x v="180"/>
    <x v="0"/>
    <x v="0"/>
    <x v="38"/>
    <x v="14"/>
    <x v="2"/>
    <x v="0"/>
    <x v="5"/>
    <x v="392"/>
    <x v="422"/>
    <x v="7"/>
    <x v="0"/>
    <x v="435"/>
  </r>
  <r>
    <n v="448"/>
    <x v="178"/>
    <x v="0"/>
    <x v="3"/>
    <x v="187"/>
    <x v="4"/>
    <x v="0"/>
    <x v="181"/>
    <x v="0"/>
    <x v="0"/>
    <x v="109"/>
    <x v="15"/>
    <x v="3"/>
    <x v="1"/>
    <x v="6"/>
    <x v="393"/>
    <x v="423"/>
    <x v="1"/>
    <x v="0"/>
    <x v="436"/>
  </r>
  <r>
    <n v="449"/>
    <x v="178"/>
    <x v="0"/>
    <x v="3"/>
    <x v="187"/>
    <x v="4"/>
    <x v="0"/>
    <x v="181"/>
    <x v="0"/>
    <x v="0"/>
    <x v="109"/>
    <x v="15"/>
    <x v="3"/>
    <x v="1"/>
    <x v="4"/>
    <x v="394"/>
    <x v="424"/>
    <x v="1"/>
    <x v="0"/>
    <x v="437"/>
  </r>
  <r>
    <n v="450"/>
    <x v="178"/>
    <x v="0"/>
    <x v="3"/>
    <x v="187"/>
    <x v="4"/>
    <x v="0"/>
    <x v="181"/>
    <x v="0"/>
    <x v="0"/>
    <x v="109"/>
    <x v="15"/>
    <x v="3"/>
    <x v="1"/>
    <x v="6"/>
    <x v="395"/>
    <x v="425"/>
    <x v="5"/>
    <x v="0"/>
    <x v="438"/>
  </r>
  <r>
    <n v="451"/>
    <x v="178"/>
    <x v="0"/>
    <x v="3"/>
    <x v="187"/>
    <x v="4"/>
    <x v="0"/>
    <x v="181"/>
    <x v="0"/>
    <x v="0"/>
    <x v="109"/>
    <x v="15"/>
    <x v="3"/>
    <x v="1"/>
    <x v="6"/>
    <x v="396"/>
    <x v="426"/>
    <x v="1"/>
    <x v="0"/>
    <x v="439"/>
  </r>
  <r>
    <n v="452"/>
    <x v="178"/>
    <x v="0"/>
    <x v="3"/>
    <x v="187"/>
    <x v="4"/>
    <x v="0"/>
    <x v="181"/>
    <x v="0"/>
    <x v="0"/>
    <x v="109"/>
    <x v="15"/>
    <x v="3"/>
    <x v="1"/>
    <x v="6"/>
    <x v="397"/>
    <x v="294"/>
    <x v="1"/>
    <x v="0"/>
    <x v="301"/>
  </r>
  <r>
    <n v="453"/>
    <x v="178"/>
    <x v="0"/>
    <x v="3"/>
    <x v="187"/>
    <x v="4"/>
    <x v="0"/>
    <x v="181"/>
    <x v="0"/>
    <x v="0"/>
    <x v="109"/>
    <x v="15"/>
    <x v="3"/>
    <x v="2"/>
    <x v="7"/>
    <x v="398"/>
    <x v="427"/>
    <x v="4"/>
    <x v="0"/>
    <x v="440"/>
  </r>
  <r>
    <n v="454"/>
    <x v="179"/>
    <x v="3"/>
    <x v="2"/>
    <x v="188"/>
    <x v="1"/>
    <x v="1"/>
    <x v="182"/>
    <x v="1"/>
    <x v="0"/>
    <x v="59"/>
    <x v="24"/>
    <x v="3"/>
    <x v="0"/>
    <x v="3"/>
    <x v="10"/>
    <x v="428"/>
    <x v="0"/>
    <x v="10"/>
    <x v="441"/>
  </r>
  <r>
    <n v="455"/>
    <x v="179"/>
    <x v="3"/>
    <x v="2"/>
    <x v="188"/>
    <x v="1"/>
    <x v="1"/>
    <x v="182"/>
    <x v="1"/>
    <x v="0"/>
    <x v="59"/>
    <x v="24"/>
    <x v="3"/>
    <x v="1"/>
    <x v="4"/>
    <x v="399"/>
    <x v="429"/>
    <x v="0"/>
    <x v="2"/>
    <x v="442"/>
  </r>
  <r>
    <n v="456"/>
    <x v="180"/>
    <x v="0"/>
    <x v="4"/>
    <x v="24"/>
    <x v="1"/>
    <x v="1"/>
    <x v="175"/>
    <x v="1"/>
    <x v="0"/>
    <x v="110"/>
    <x v="26"/>
    <x v="2"/>
    <x v="2"/>
    <x v="11"/>
    <x v="400"/>
    <x v="430"/>
    <x v="4"/>
    <x v="0"/>
    <x v="443"/>
  </r>
  <r>
    <n v="457"/>
    <x v="181"/>
    <x v="2"/>
    <x v="11"/>
    <x v="189"/>
    <x v="5"/>
    <x v="1"/>
    <x v="183"/>
    <x v="0"/>
    <x v="0"/>
    <x v="3"/>
    <x v="1"/>
    <x v="1"/>
    <x v="0"/>
    <x v="1"/>
    <x v="401"/>
    <x v="431"/>
    <x v="0"/>
    <x v="2"/>
    <x v="444"/>
  </r>
  <r>
    <n v="458"/>
    <x v="182"/>
    <x v="0"/>
    <x v="8"/>
    <x v="152"/>
    <x v="3"/>
    <x v="1"/>
    <x v="173"/>
    <x v="0"/>
    <x v="0"/>
    <x v="27"/>
    <x v="10"/>
    <x v="2"/>
    <x v="0"/>
    <x v="1"/>
    <x v="402"/>
    <x v="432"/>
    <x v="1"/>
    <x v="4"/>
    <x v="445"/>
  </r>
  <r>
    <n v="459"/>
    <x v="182"/>
    <x v="0"/>
    <x v="8"/>
    <x v="152"/>
    <x v="3"/>
    <x v="1"/>
    <x v="173"/>
    <x v="0"/>
    <x v="0"/>
    <x v="27"/>
    <x v="10"/>
    <x v="2"/>
    <x v="1"/>
    <x v="12"/>
    <x v="33"/>
    <x v="433"/>
    <x v="0"/>
    <x v="2"/>
    <x v="446"/>
  </r>
  <r>
    <n v="460"/>
    <x v="83"/>
    <x v="1"/>
    <x v="4"/>
    <x v="190"/>
    <x v="2"/>
    <x v="1"/>
    <x v="98"/>
    <x v="0"/>
    <x v="0"/>
    <x v="4"/>
    <x v="4"/>
    <x v="1"/>
    <x v="1"/>
    <x v="9"/>
    <x v="403"/>
    <x v="434"/>
    <x v="4"/>
    <x v="0"/>
    <x v="447"/>
  </r>
  <r>
    <n v="461"/>
    <x v="83"/>
    <x v="1"/>
    <x v="4"/>
    <x v="190"/>
    <x v="2"/>
    <x v="1"/>
    <x v="98"/>
    <x v="0"/>
    <x v="0"/>
    <x v="4"/>
    <x v="4"/>
    <x v="1"/>
    <x v="2"/>
    <x v="11"/>
    <x v="404"/>
    <x v="435"/>
    <x v="6"/>
    <x v="0"/>
    <x v="448"/>
  </r>
  <r>
    <n v="462"/>
    <x v="83"/>
    <x v="1"/>
    <x v="4"/>
    <x v="190"/>
    <x v="2"/>
    <x v="1"/>
    <x v="98"/>
    <x v="0"/>
    <x v="0"/>
    <x v="4"/>
    <x v="4"/>
    <x v="1"/>
    <x v="1"/>
    <x v="8"/>
    <x v="405"/>
    <x v="96"/>
    <x v="1"/>
    <x v="2"/>
    <x v="449"/>
  </r>
  <r>
    <n v="463"/>
    <x v="183"/>
    <x v="0"/>
    <x v="3"/>
    <x v="135"/>
    <x v="2"/>
    <x v="1"/>
    <x v="184"/>
    <x v="2"/>
    <x v="0"/>
    <x v="42"/>
    <x v="16"/>
    <x v="1"/>
    <x v="0"/>
    <x v="5"/>
    <x v="322"/>
    <x v="436"/>
    <x v="2"/>
    <x v="2"/>
    <x v="450"/>
  </r>
  <r>
    <n v="464"/>
    <x v="183"/>
    <x v="0"/>
    <x v="3"/>
    <x v="135"/>
    <x v="2"/>
    <x v="1"/>
    <x v="184"/>
    <x v="2"/>
    <x v="0"/>
    <x v="42"/>
    <x v="16"/>
    <x v="1"/>
    <x v="0"/>
    <x v="3"/>
    <x v="406"/>
    <x v="437"/>
    <x v="5"/>
    <x v="5"/>
    <x v="451"/>
  </r>
  <r>
    <n v="465"/>
    <x v="183"/>
    <x v="0"/>
    <x v="3"/>
    <x v="135"/>
    <x v="2"/>
    <x v="1"/>
    <x v="184"/>
    <x v="2"/>
    <x v="0"/>
    <x v="42"/>
    <x v="16"/>
    <x v="1"/>
    <x v="1"/>
    <x v="8"/>
    <x v="407"/>
    <x v="438"/>
    <x v="2"/>
    <x v="6"/>
    <x v="452"/>
  </r>
  <r>
    <n v="466"/>
    <x v="183"/>
    <x v="0"/>
    <x v="3"/>
    <x v="135"/>
    <x v="2"/>
    <x v="1"/>
    <x v="184"/>
    <x v="2"/>
    <x v="0"/>
    <x v="42"/>
    <x v="16"/>
    <x v="1"/>
    <x v="1"/>
    <x v="14"/>
    <x v="408"/>
    <x v="439"/>
    <x v="0"/>
    <x v="2"/>
    <x v="453"/>
  </r>
  <r>
    <n v="467"/>
    <x v="183"/>
    <x v="0"/>
    <x v="3"/>
    <x v="135"/>
    <x v="2"/>
    <x v="1"/>
    <x v="184"/>
    <x v="2"/>
    <x v="0"/>
    <x v="42"/>
    <x v="16"/>
    <x v="1"/>
    <x v="1"/>
    <x v="9"/>
    <x v="409"/>
    <x v="440"/>
    <x v="0"/>
    <x v="2"/>
    <x v="454"/>
  </r>
  <r>
    <n v="468"/>
    <x v="184"/>
    <x v="1"/>
    <x v="9"/>
    <x v="191"/>
    <x v="2"/>
    <x v="1"/>
    <x v="185"/>
    <x v="2"/>
    <x v="0"/>
    <x v="111"/>
    <x v="10"/>
    <x v="2"/>
    <x v="0"/>
    <x v="5"/>
    <x v="266"/>
    <x v="441"/>
    <x v="3"/>
    <x v="7"/>
    <x v="455"/>
  </r>
  <r>
    <n v="469"/>
    <x v="185"/>
    <x v="3"/>
    <x v="3"/>
    <x v="192"/>
    <x v="1"/>
    <x v="1"/>
    <x v="103"/>
    <x v="1"/>
    <x v="0"/>
    <x v="112"/>
    <x v="5"/>
    <x v="2"/>
    <x v="0"/>
    <x v="0"/>
    <x v="410"/>
    <x v="442"/>
    <x v="0"/>
    <x v="8"/>
    <x v="456"/>
  </r>
  <r>
    <n v="470"/>
    <x v="186"/>
    <x v="0"/>
    <x v="4"/>
    <x v="120"/>
    <x v="1"/>
    <x v="0"/>
    <x v="113"/>
    <x v="0"/>
    <x v="0"/>
    <x v="22"/>
    <x v="10"/>
    <x v="2"/>
    <x v="1"/>
    <x v="8"/>
    <x v="411"/>
    <x v="443"/>
    <x v="1"/>
    <x v="3"/>
    <x v="457"/>
  </r>
  <r>
    <n v="471"/>
    <x v="139"/>
    <x v="1"/>
    <x v="4"/>
    <x v="140"/>
    <x v="1"/>
    <x v="1"/>
    <x v="186"/>
    <x v="1"/>
    <x v="0"/>
    <x v="113"/>
    <x v="15"/>
    <x v="3"/>
    <x v="1"/>
    <x v="10"/>
    <x v="412"/>
    <x v="444"/>
    <x v="7"/>
    <x v="0"/>
    <x v="458"/>
  </r>
  <r>
    <n v="472"/>
    <x v="187"/>
    <x v="2"/>
    <x v="0"/>
    <x v="193"/>
    <x v="4"/>
    <x v="0"/>
    <x v="187"/>
    <x v="0"/>
    <x v="0"/>
    <x v="8"/>
    <x v="1"/>
    <x v="1"/>
    <x v="1"/>
    <x v="4"/>
    <x v="413"/>
    <x v="445"/>
    <x v="1"/>
    <x v="0"/>
    <x v="459"/>
  </r>
  <r>
    <n v="473"/>
    <x v="187"/>
    <x v="2"/>
    <x v="0"/>
    <x v="193"/>
    <x v="4"/>
    <x v="0"/>
    <x v="187"/>
    <x v="0"/>
    <x v="0"/>
    <x v="8"/>
    <x v="1"/>
    <x v="1"/>
    <x v="0"/>
    <x v="0"/>
    <x v="414"/>
    <x v="446"/>
    <x v="0"/>
    <x v="11"/>
    <x v="460"/>
  </r>
  <r>
    <n v="474"/>
    <x v="187"/>
    <x v="2"/>
    <x v="0"/>
    <x v="193"/>
    <x v="4"/>
    <x v="0"/>
    <x v="187"/>
    <x v="0"/>
    <x v="0"/>
    <x v="8"/>
    <x v="1"/>
    <x v="1"/>
    <x v="2"/>
    <x v="7"/>
    <x v="415"/>
    <x v="447"/>
    <x v="4"/>
    <x v="2"/>
    <x v="461"/>
  </r>
  <r>
    <n v="475"/>
    <x v="187"/>
    <x v="2"/>
    <x v="0"/>
    <x v="193"/>
    <x v="4"/>
    <x v="0"/>
    <x v="187"/>
    <x v="0"/>
    <x v="0"/>
    <x v="8"/>
    <x v="1"/>
    <x v="1"/>
    <x v="1"/>
    <x v="4"/>
    <x v="416"/>
    <x v="448"/>
    <x v="5"/>
    <x v="0"/>
    <x v="462"/>
  </r>
  <r>
    <n v="476"/>
    <x v="187"/>
    <x v="2"/>
    <x v="0"/>
    <x v="193"/>
    <x v="4"/>
    <x v="0"/>
    <x v="187"/>
    <x v="0"/>
    <x v="0"/>
    <x v="8"/>
    <x v="1"/>
    <x v="1"/>
    <x v="1"/>
    <x v="10"/>
    <x v="417"/>
    <x v="449"/>
    <x v="3"/>
    <x v="0"/>
    <x v="463"/>
  </r>
  <r>
    <n v="477"/>
    <x v="187"/>
    <x v="2"/>
    <x v="0"/>
    <x v="193"/>
    <x v="4"/>
    <x v="0"/>
    <x v="187"/>
    <x v="0"/>
    <x v="0"/>
    <x v="8"/>
    <x v="1"/>
    <x v="1"/>
    <x v="1"/>
    <x v="10"/>
    <x v="418"/>
    <x v="450"/>
    <x v="2"/>
    <x v="0"/>
    <x v="464"/>
  </r>
  <r>
    <n v="478"/>
    <x v="188"/>
    <x v="0"/>
    <x v="7"/>
    <x v="194"/>
    <x v="2"/>
    <x v="1"/>
    <x v="120"/>
    <x v="1"/>
    <x v="0"/>
    <x v="1"/>
    <x v="1"/>
    <x v="1"/>
    <x v="2"/>
    <x v="7"/>
    <x v="419"/>
    <x v="451"/>
    <x v="5"/>
    <x v="2"/>
    <x v="465"/>
  </r>
  <r>
    <n v="479"/>
    <x v="189"/>
    <x v="0"/>
    <x v="2"/>
    <x v="195"/>
    <x v="5"/>
    <x v="1"/>
    <x v="188"/>
    <x v="0"/>
    <x v="0"/>
    <x v="21"/>
    <x v="15"/>
    <x v="3"/>
    <x v="0"/>
    <x v="5"/>
    <x v="275"/>
    <x v="452"/>
    <x v="1"/>
    <x v="0"/>
    <x v="466"/>
  </r>
  <r>
    <n v="480"/>
    <x v="190"/>
    <x v="0"/>
    <x v="1"/>
    <x v="196"/>
    <x v="5"/>
    <x v="1"/>
    <x v="189"/>
    <x v="1"/>
    <x v="0"/>
    <x v="20"/>
    <x v="15"/>
    <x v="3"/>
    <x v="1"/>
    <x v="6"/>
    <x v="420"/>
    <x v="453"/>
    <x v="2"/>
    <x v="0"/>
    <x v="467"/>
  </r>
  <r>
    <n v="481"/>
    <x v="190"/>
    <x v="0"/>
    <x v="1"/>
    <x v="196"/>
    <x v="5"/>
    <x v="1"/>
    <x v="189"/>
    <x v="1"/>
    <x v="0"/>
    <x v="20"/>
    <x v="15"/>
    <x v="3"/>
    <x v="1"/>
    <x v="4"/>
    <x v="421"/>
    <x v="454"/>
    <x v="2"/>
    <x v="0"/>
    <x v="468"/>
  </r>
  <r>
    <n v="482"/>
    <x v="191"/>
    <x v="2"/>
    <x v="2"/>
    <x v="197"/>
    <x v="1"/>
    <x v="1"/>
    <x v="190"/>
    <x v="0"/>
    <x v="0"/>
    <x v="70"/>
    <x v="1"/>
    <x v="1"/>
    <x v="2"/>
    <x v="11"/>
    <x v="422"/>
    <x v="455"/>
    <x v="1"/>
    <x v="0"/>
    <x v="469"/>
  </r>
  <r>
    <n v="483"/>
    <x v="192"/>
    <x v="2"/>
    <x v="7"/>
    <x v="151"/>
    <x v="3"/>
    <x v="1"/>
    <x v="191"/>
    <x v="0"/>
    <x v="0"/>
    <x v="20"/>
    <x v="15"/>
    <x v="3"/>
    <x v="1"/>
    <x v="6"/>
    <x v="79"/>
    <x v="456"/>
    <x v="0"/>
    <x v="0"/>
    <x v="470"/>
  </r>
  <r>
    <n v="484"/>
    <x v="192"/>
    <x v="2"/>
    <x v="7"/>
    <x v="151"/>
    <x v="3"/>
    <x v="1"/>
    <x v="191"/>
    <x v="0"/>
    <x v="0"/>
    <x v="20"/>
    <x v="15"/>
    <x v="3"/>
    <x v="2"/>
    <x v="11"/>
    <x v="423"/>
    <x v="457"/>
    <x v="0"/>
    <x v="0"/>
    <x v="471"/>
  </r>
  <r>
    <n v="485"/>
    <x v="193"/>
    <x v="3"/>
    <x v="1"/>
    <x v="198"/>
    <x v="0"/>
    <x v="2"/>
    <x v="192"/>
    <x v="2"/>
    <x v="0"/>
    <x v="1"/>
    <x v="1"/>
    <x v="1"/>
    <x v="1"/>
    <x v="2"/>
    <x v="424"/>
    <x v="458"/>
    <x v="0"/>
    <x v="0"/>
    <x v="472"/>
  </r>
  <r>
    <n v="486"/>
    <x v="193"/>
    <x v="3"/>
    <x v="1"/>
    <x v="198"/>
    <x v="0"/>
    <x v="2"/>
    <x v="192"/>
    <x v="2"/>
    <x v="0"/>
    <x v="1"/>
    <x v="1"/>
    <x v="1"/>
    <x v="0"/>
    <x v="0"/>
    <x v="425"/>
    <x v="459"/>
    <x v="2"/>
    <x v="11"/>
    <x v="473"/>
  </r>
  <r>
    <n v="487"/>
    <x v="193"/>
    <x v="3"/>
    <x v="1"/>
    <x v="198"/>
    <x v="0"/>
    <x v="2"/>
    <x v="192"/>
    <x v="2"/>
    <x v="0"/>
    <x v="1"/>
    <x v="1"/>
    <x v="1"/>
    <x v="2"/>
    <x v="7"/>
    <x v="426"/>
    <x v="460"/>
    <x v="2"/>
    <x v="2"/>
    <x v="474"/>
  </r>
  <r>
    <n v="488"/>
    <x v="194"/>
    <x v="2"/>
    <x v="2"/>
    <x v="199"/>
    <x v="4"/>
    <x v="2"/>
    <x v="193"/>
    <x v="0"/>
    <x v="0"/>
    <x v="22"/>
    <x v="10"/>
    <x v="2"/>
    <x v="2"/>
    <x v="7"/>
    <x v="427"/>
    <x v="461"/>
    <x v="5"/>
    <x v="2"/>
    <x v="475"/>
  </r>
  <r>
    <n v="489"/>
    <x v="3"/>
    <x v="2"/>
    <x v="1"/>
    <x v="200"/>
    <x v="1"/>
    <x v="0"/>
    <x v="194"/>
    <x v="2"/>
    <x v="0"/>
    <x v="114"/>
    <x v="5"/>
    <x v="2"/>
    <x v="2"/>
    <x v="7"/>
    <x v="428"/>
    <x v="462"/>
    <x v="7"/>
    <x v="2"/>
    <x v="476"/>
  </r>
  <r>
    <n v="490"/>
    <x v="3"/>
    <x v="2"/>
    <x v="1"/>
    <x v="200"/>
    <x v="1"/>
    <x v="0"/>
    <x v="194"/>
    <x v="2"/>
    <x v="0"/>
    <x v="114"/>
    <x v="5"/>
    <x v="2"/>
    <x v="2"/>
    <x v="11"/>
    <x v="429"/>
    <x v="463"/>
    <x v="0"/>
    <x v="2"/>
    <x v="477"/>
  </r>
  <r>
    <n v="491"/>
    <x v="3"/>
    <x v="2"/>
    <x v="1"/>
    <x v="200"/>
    <x v="1"/>
    <x v="0"/>
    <x v="194"/>
    <x v="2"/>
    <x v="0"/>
    <x v="114"/>
    <x v="5"/>
    <x v="2"/>
    <x v="1"/>
    <x v="6"/>
    <x v="395"/>
    <x v="464"/>
    <x v="0"/>
    <x v="2"/>
    <x v="478"/>
  </r>
  <r>
    <n v="492"/>
    <x v="80"/>
    <x v="2"/>
    <x v="8"/>
    <x v="76"/>
    <x v="3"/>
    <x v="1"/>
    <x v="195"/>
    <x v="0"/>
    <x v="0"/>
    <x v="30"/>
    <x v="15"/>
    <x v="3"/>
    <x v="1"/>
    <x v="4"/>
    <x v="430"/>
    <x v="465"/>
    <x v="2"/>
    <x v="0"/>
    <x v="479"/>
  </r>
  <r>
    <n v="493"/>
    <x v="80"/>
    <x v="2"/>
    <x v="8"/>
    <x v="76"/>
    <x v="3"/>
    <x v="1"/>
    <x v="195"/>
    <x v="0"/>
    <x v="0"/>
    <x v="30"/>
    <x v="15"/>
    <x v="3"/>
    <x v="1"/>
    <x v="12"/>
    <x v="431"/>
    <x v="466"/>
    <x v="1"/>
    <x v="0"/>
    <x v="480"/>
  </r>
  <r>
    <n v="494"/>
    <x v="195"/>
    <x v="0"/>
    <x v="5"/>
    <x v="201"/>
    <x v="3"/>
    <x v="1"/>
    <x v="196"/>
    <x v="0"/>
    <x v="0"/>
    <x v="4"/>
    <x v="4"/>
    <x v="1"/>
    <x v="2"/>
    <x v="11"/>
    <x v="432"/>
    <x v="467"/>
    <x v="0"/>
    <x v="0"/>
    <x v="481"/>
  </r>
  <r>
    <n v="495"/>
    <x v="196"/>
    <x v="0"/>
    <x v="10"/>
    <x v="202"/>
    <x v="0"/>
    <x v="0"/>
    <x v="197"/>
    <x v="0"/>
    <x v="0"/>
    <x v="26"/>
    <x v="18"/>
    <x v="0"/>
    <x v="0"/>
    <x v="3"/>
    <x v="433"/>
    <x v="468"/>
    <x v="1"/>
    <x v="10"/>
    <x v="482"/>
  </r>
  <r>
    <n v="496"/>
    <x v="17"/>
    <x v="1"/>
    <x v="4"/>
    <x v="16"/>
    <x v="1"/>
    <x v="1"/>
    <x v="198"/>
    <x v="0"/>
    <x v="0"/>
    <x v="115"/>
    <x v="36"/>
    <x v="0"/>
    <x v="1"/>
    <x v="12"/>
    <x v="434"/>
    <x v="469"/>
    <x v="0"/>
    <x v="0"/>
    <x v="483"/>
  </r>
  <r>
    <n v="497"/>
    <x v="197"/>
    <x v="0"/>
    <x v="7"/>
    <x v="203"/>
    <x v="5"/>
    <x v="1"/>
    <x v="183"/>
    <x v="0"/>
    <x v="0"/>
    <x v="116"/>
    <x v="1"/>
    <x v="1"/>
    <x v="1"/>
    <x v="8"/>
    <x v="435"/>
    <x v="470"/>
    <x v="8"/>
    <x v="2"/>
    <x v="484"/>
  </r>
  <r>
    <n v="498"/>
    <x v="197"/>
    <x v="0"/>
    <x v="7"/>
    <x v="203"/>
    <x v="5"/>
    <x v="1"/>
    <x v="183"/>
    <x v="0"/>
    <x v="0"/>
    <x v="116"/>
    <x v="1"/>
    <x v="1"/>
    <x v="0"/>
    <x v="5"/>
    <x v="436"/>
    <x v="471"/>
    <x v="4"/>
    <x v="0"/>
    <x v="485"/>
  </r>
  <r>
    <n v="499"/>
    <x v="197"/>
    <x v="0"/>
    <x v="7"/>
    <x v="203"/>
    <x v="5"/>
    <x v="1"/>
    <x v="183"/>
    <x v="0"/>
    <x v="0"/>
    <x v="116"/>
    <x v="1"/>
    <x v="1"/>
    <x v="0"/>
    <x v="1"/>
    <x v="288"/>
    <x v="472"/>
    <x v="0"/>
    <x v="2"/>
    <x v="486"/>
  </r>
  <r>
    <n v="500"/>
    <x v="197"/>
    <x v="0"/>
    <x v="7"/>
    <x v="203"/>
    <x v="5"/>
    <x v="1"/>
    <x v="183"/>
    <x v="0"/>
    <x v="0"/>
    <x v="116"/>
    <x v="1"/>
    <x v="1"/>
    <x v="0"/>
    <x v="5"/>
    <x v="437"/>
    <x v="473"/>
    <x v="6"/>
    <x v="0"/>
    <x v="487"/>
  </r>
  <r>
    <n v="501"/>
    <x v="198"/>
    <x v="0"/>
    <x v="5"/>
    <x v="204"/>
    <x v="3"/>
    <x v="1"/>
    <x v="199"/>
    <x v="1"/>
    <x v="0"/>
    <x v="117"/>
    <x v="22"/>
    <x v="1"/>
    <x v="1"/>
    <x v="8"/>
    <x v="438"/>
    <x v="474"/>
    <x v="0"/>
    <x v="6"/>
    <x v="488"/>
  </r>
  <r>
    <n v="502"/>
    <x v="198"/>
    <x v="0"/>
    <x v="5"/>
    <x v="204"/>
    <x v="3"/>
    <x v="1"/>
    <x v="199"/>
    <x v="1"/>
    <x v="0"/>
    <x v="117"/>
    <x v="22"/>
    <x v="1"/>
    <x v="1"/>
    <x v="8"/>
    <x v="439"/>
    <x v="475"/>
    <x v="0"/>
    <x v="6"/>
    <x v="489"/>
  </r>
  <r>
    <n v="503"/>
    <x v="198"/>
    <x v="0"/>
    <x v="5"/>
    <x v="204"/>
    <x v="3"/>
    <x v="1"/>
    <x v="199"/>
    <x v="1"/>
    <x v="0"/>
    <x v="117"/>
    <x v="22"/>
    <x v="1"/>
    <x v="0"/>
    <x v="1"/>
    <x v="440"/>
    <x v="476"/>
    <x v="0"/>
    <x v="2"/>
    <x v="490"/>
  </r>
  <r>
    <n v="504"/>
    <x v="198"/>
    <x v="0"/>
    <x v="5"/>
    <x v="204"/>
    <x v="3"/>
    <x v="1"/>
    <x v="199"/>
    <x v="1"/>
    <x v="0"/>
    <x v="117"/>
    <x v="22"/>
    <x v="1"/>
    <x v="1"/>
    <x v="8"/>
    <x v="441"/>
    <x v="477"/>
    <x v="1"/>
    <x v="6"/>
    <x v="491"/>
  </r>
  <r>
    <n v="505"/>
    <x v="198"/>
    <x v="0"/>
    <x v="5"/>
    <x v="204"/>
    <x v="3"/>
    <x v="1"/>
    <x v="199"/>
    <x v="1"/>
    <x v="0"/>
    <x v="117"/>
    <x v="22"/>
    <x v="1"/>
    <x v="1"/>
    <x v="10"/>
    <x v="442"/>
    <x v="478"/>
    <x v="7"/>
    <x v="2"/>
    <x v="492"/>
  </r>
  <r>
    <n v="506"/>
    <x v="105"/>
    <x v="3"/>
    <x v="0"/>
    <x v="205"/>
    <x v="0"/>
    <x v="0"/>
    <x v="182"/>
    <x v="1"/>
    <x v="0"/>
    <x v="20"/>
    <x v="15"/>
    <x v="3"/>
    <x v="1"/>
    <x v="8"/>
    <x v="122"/>
    <x v="204"/>
    <x v="2"/>
    <x v="2"/>
    <x v="493"/>
  </r>
  <r>
    <n v="507"/>
    <x v="199"/>
    <x v="1"/>
    <x v="10"/>
    <x v="206"/>
    <x v="5"/>
    <x v="1"/>
    <x v="200"/>
    <x v="0"/>
    <x v="0"/>
    <x v="118"/>
    <x v="32"/>
    <x v="0"/>
    <x v="1"/>
    <x v="6"/>
    <x v="443"/>
    <x v="479"/>
    <x v="7"/>
    <x v="0"/>
    <x v="494"/>
  </r>
  <r>
    <n v="508"/>
    <x v="199"/>
    <x v="1"/>
    <x v="10"/>
    <x v="206"/>
    <x v="5"/>
    <x v="1"/>
    <x v="200"/>
    <x v="0"/>
    <x v="0"/>
    <x v="118"/>
    <x v="32"/>
    <x v="0"/>
    <x v="1"/>
    <x v="6"/>
    <x v="444"/>
    <x v="480"/>
    <x v="1"/>
    <x v="0"/>
    <x v="495"/>
  </r>
  <r>
    <n v="509"/>
    <x v="199"/>
    <x v="1"/>
    <x v="10"/>
    <x v="206"/>
    <x v="5"/>
    <x v="1"/>
    <x v="200"/>
    <x v="0"/>
    <x v="0"/>
    <x v="118"/>
    <x v="32"/>
    <x v="0"/>
    <x v="1"/>
    <x v="4"/>
    <x v="445"/>
    <x v="481"/>
    <x v="1"/>
    <x v="0"/>
    <x v="496"/>
  </r>
  <r>
    <n v="510"/>
    <x v="199"/>
    <x v="1"/>
    <x v="10"/>
    <x v="206"/>
    <x v="5"/>
    <x v="1"/>
    <x v="200"/>
    <x v="0"/>
    <x v="0"/>
    <x v="118"/>
    <x v="32"/>
    <x v="0"/>
    <x v="1"/>
    <x v="8"/>
    <x v="446"/>
    <x v="482"/>
    <x v="2"/>
    <x v="0"/>
    <x v="497"/>
  </r>
  <r>
    <n v="511"/>
    <x v="200"/>
    <x v="3"/>
    <x v="0"/>
    <x v="207"/>
    <x v="6"/>
    <x v="2"/>
    <x v="201"/>
    <x v="0"/>
    <x v="0"/>
    <x v="119"/>
    <x v="25"/>
    <x v="2"/>
    <x v="0"/>
    <x v="5"/>
    <x v="447"/>
    <x v="483"/>
    <x v="1"/>
    <x v="0"/>
    <x v="498"/>
  </r>
  <r>
    <n v="512"/>
    <x v="200"/>
    <x v="3"/>
    <x v="0"/>
    <x v="207"/>
    <x v="6"/>
    <x v="2"/>
    <x v="201"/>
    <x v="0"/>
    <x v="0"/>
    <x v="119"/>
    <x v="25"/>
    <x v="2"/>
    <x v="2"/>
    <x v="11"/>
    <x v="448"/>
    <x v="484"/>
    <x v="0"/>
    <x v="0"/>
    <x v="499"/>
  </r>
  <r>
    <n v="513"/>
    <x v="201"/>
    <x v="0"/>
    <x v="2"/>
    <x v="208"/>
    <x v="0"/>
    <x v="2"/>
    <x v="166"/>
    <x v="0"/>
    <x v="0"/>
    <x v="46"/>
    <x v="24"/>
    <x v="3"/>
    <x v="1"/>
    <x v="6"/>
    <x v="79"/>
    <x v="485"/>
    <x v="1"/>
    <x v="2"/>
    <x v="500"/>
  </r>
  <r>
    <n v="514"/>
    <x v="202"/>
    <x v="3"/>
    <x v="4"/>
    <x v="209"/>
    <x v="1"/>
    <x v="1"/>
    <x v="202"/>
    <x v="0"/>
    <x v="0"/>
    <x v="1"/>
    <x v="1"/>
    <x v="1"/>
    <x v="1"/>
    <x v="6"/>
    <x v="449"/>
    <x v="153"/>
    <x v="1"/>
    <x v="0"/>
    <x v="155"/>
  </r>
  <r>
    <n v="515"/>
    <x v="202"/>
    <x v="3"/>
    <x v="4"/>
    <x v="209"/>
    <x v="1"/>
    <x v="1"/>
    <x v="202"/>
    <x v="0"/>
    <x v="0"/>
    <x v="1"/>
    <x v="1"/>
    <x v="1"/>
    <x v="1"/>
    <x v="6"/>
    <x v="450"/>
    <x v="486"/>
    <x v="0"/>
    <x v="0"/>
    <x v="501"/>
  </r>
  <r>
    <n v="516"/>
    <x v="203"/>
    <x v="3"/>
    <x v="9"/>
    <x v="210"/>
    <x v="3"/>
    <x v="1"/>
    <x v="57"/>
    <x v="2"/>
    <x v="0"/>
    <x v="120"/>
    <x v="37"/>
    <x v="1"/>
    <x v="2"/>
    <x v="16"/>
    <x v="451"/>
    <x v="487"/>
    <x v="2"/>
    <x v="0"/>
    <x v="502"/>
  </r>
  <r>
    <n v="517"/>
    <x v="203"/>
    <x v="3"/>
    <x v="9"/>
    <x v="210"/>
    <x v="3"/>
    <x v="1"/>
    <x v="57"/>
    <x v="2"/>
    <x v="0"/>
    <x v="120"/>
    <x v="37"/>
    <x v="1"/>
    <x v="1"/>
    <x v="4"/>
    <x v="452"/>
    <x v="488"/>
    <x v="1"/>
    <x v="0"/>
    <x v="503"/>
  </r>
  <r>
    <n v="518"/>
    <x v="203"/>
    <x v="3"/>
    <x v="9"/>
    <x v="210"/>
    <x v="3"/>
    <x v="1"/>
    <x v="57"/>
    <x v="2"/>
    <x v="0"/>
    <x v="120"/>
    <x v="37"/>
    <x v="1"/>
    <x v="1"/>
    <x v="10"/>
    <x v="453"/>
    <x v="489"/>
    <x v="0"/>
    <x v="0"/>
    <x v="504"/>
  </r>
  <r>
    <n v="519"/>
    <x v="203"/>
    <x v="3"/>
    <x v="9"/>
    <x v="210"/>
    <x v="3"/>
    <x v="1"/>
    <x v="57"/>
    <x v="2"/>
    <x v="0"/>
    <x v="120"/>
    <x v="37"/>
    <x v="1"/>
    <x v="1"/>
    <x v="4"/>
    <x v="454"/>
    <x v="490"/>
    <x v="1"/>
    <x v="0"/>
    <x v="505"/>
  </r>
  <r>
    <n v="520"/>
    <x v="204"/>
    <x v="1"/>
    <x v="10"/>
    <x v="211"/>
    <x v="1"/>
    <x v="1"/>
    <x v="203"/>
    <x v="0"/>
    <x v="0"/>
    <x v="12"/>
    <x v="5"/>
    <x v="2"/>
    <x v="2"/>
    <x v="11"/>
    <x v="43"/>
    <x v="491"/>
    <x v="7"/>
    <x v="2"/>
    <x v="506"/>
  </r>
  <r>
    <n v="521"/>
    <x v="204"/>
    <x v="1"/>
    <x v="10"/>
    <x v="211"/>
    <x v="1"/>
    <x v="1"/>
    <x v="203"/>
    <x v="0"/>
    <x v="0"/>
    <x v="12"/>
    <x v="5"/>
    <x v="2"/>
    <x v="1"/>
    <x v="4"/>
    <x v="455"/>
    <x v="431"/>
    <x v="0"/>
    <x v="2"/>
    <x v="507"/>
  </r>
  <r>
    <n v="522"/>
    <x v="204"/>
    <x v="1"/>
    <x v="10"/>
    <x v="211"/>
    <x v="1"/>
    <x v="1"/>
    <x v="203"/>
    <x v="0"/>
    <x v="0"/>
    <x v="12"/>
    <x v="5"/>
    <x v="2"/>
    <x v="1"/>
    <x v="8"/>
    <x v="456"/>
    <x v="492"/>
    <x v="6"/>
    <x v="3"/>
    <x v="508"/>
  </r>
  <r>
    <n v="523"/>
    <x v="205"/>
    <x v="3"/>
    <x v="9"/>
    <x v="212"/>
    <x v="4"/>
    <x v="2"/>
    <x v="204"/>
    <x v="1"/>
    <x v="0"/>
    <x v="66"/>
    <x v="12"/>
    <x v="2"/>
    <x v="0"/>
    <x v="3"/>
    <x v="433"/>
    <x v="493"/>
    <x v="0"/>
    <x v="0"/>
    <x v="509"/>
  </r>
  <r>
    <n v="524"/>
    <x v="206"/>
    <x v="0"/>
    <x v="5"/>
    <x v="213"/>
    <x v="4"/>
    <x v="2"/>
    <x v="109"/>
    <x v="0"/>
    <x v="0"/>
    <x v="1"/>
    <x v="1"/>
    <x v="1"/>
    <x v="2"/>
    <x v="7"/>
    <x v="457"/>
    <x v="494"/>
    <x v="1"/>
    <x v="2"/>
    <x v="510"/>
  </r>
  <r>
    <n v="525"/>
    <x v="206"/>
    <x v="0"/>
    <x v="5"/>
    <x v="213"/>
    <x v="4"/>
    <x v="2"/>
    <x v="109"/>
    <x v="0"/>
    <x v="0"/>
    <x v="1"/>
    <x v="1"/>
    <x v="1"/>
    <x v="2"/>
    <x v="11"/>
    <x v="458"/>
    <x v="495"/>
    <x v="0"/>
    <x v="0"/>
    <x v="511"/>
  </r>
  <r>
    <n v="526"/>
    <x v="207"/>
    <x v="1"/>
    <x v="4"/>
    <x v="214"/>
    <x v="2"/>
    <x v="1"/>
    <x v="205"/>
    <x v="0"/>
    <x v="0"/>
    <x v="104"/>
    <x v="31"/>
    <x v="3"/>
    <x v="1"/>
    <x v="13"/>
    <x v="33"/>
    <x v="496"/>
    <x v="2"/>
    <x v="0"/>
    <x v="512"/>
  </r>
  <r>
    <n v="527"/>
    <x v="208"/>
    <x v="3"/>
    <x v="2"/>
    <x v="215"/>
    <x v="3"/>
    <x v="1"/>
    <x v="206"/>
    <x v="2"/>
    <x v="0"/>
    <x v="121"/>
    <x v="2"/>
    <x v="0"/>
    <x v="0"/>
    <x v="1"/>
    <x v="459"/>
    <x v="497"/>
    <x v="1"/>
    <x v="2"/>
    <x v="513"/>
  </r>
  <r>
    <n v="528"/>
    <x v="208"/>
    <x v="3"/>
    <x v="2"/>
    <x v="215"/>
    <x v="3"/>
    <x v="1"/>
    <x v="206"/>
    <x v="2"/>
    <x v="0"/>
    <x v="121"/>
    <x v="2"/>
    <x v="0"/>
    <x v="0"/>
    <x v="5"/>
    <x v="282"/>
    <x v="498"/>
    <x v="1"/>
    <x v="2"/>
    <x v="514"/>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r>
    <m/>
    <x v="209"/>
    <x v="4"/>
    <x v="12"/>
    <x v="216"/>
    <x v="8"/>
    <x v="4"/>
    <x v="207"/>
    <x v="3"/>
    <x v="1"/>
    <x v="122"/>
    <x v="38"/>
    <x v="4"/>
    <x v="3"/>
    <x v="17"/>
    <x v="460"/>
    <x v="499"/>
    <x v="14"/>
    <x v="12"/>
    <x v="5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A12AFE-43D4-43C9-85AA-A2030D993D09}"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P3:Q9" firstHeaderRow="1" firstDataRow="1" firstDataCol="1"/>
  <pivotFields count="20">
    <pivotField showAll="0"/>
    <pivotField numFmtId="165" showAll="0">
      <items count="211">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207"/>
        <item x="17"/>
        <item x="75"/>
        <item x="13"/>
        <item x="115"/>
        <item x="21"/>
        <item x="69"/>
        <item x="196"/>
        <item x="178"/>
        <item x="41"/>
        <item x="143"/>
        <item x="167"/>
        <item x="173"/>
        <item x="183"/>
        <item x="131"/>
        <item x="134"/>
        <item x="195"/>
        <item x="74"/>
        <item x="206"/>
        <item x="198"/>
        <item x="30"/>
        <item x="112"/>
        <item x="1"/>
        <item x="26"/>
        <item x="23"/>
        <item x="190"/>
        <item x="188"/>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208"/>
        <item x="40"/>
        <item x="132"/>
        <item x="60"/>
        <item x="44"/>
        <item x="45"/>
        <item x="105"/>
        <item x="38"/>
        <item x="123"/>
        <item x="51"/>
        <item x="200"/>
        <item x="96"/>
        <item x="166"/>
        <item x="34"/>
        <item x="157"/>
        <item x="94"/>
        <item x="202"/>
        <item x="66"/>
        <item x="165"/>
        <item x="53"/>
        <item x="116"/>
        <item x="209"/>
        <item t="default"/>
      </items>
    </pivotField>
    <pivotField showAll="0"/>
    <pivotField showAll="0">
      <items count="14">
        <item x="9"/>
        <item x="11"/>
        <item x="10"/>
        <item x="3"/>
        <item x="5"/>
        <item x="1"/>
        <item x="7"/>
        <item x="6"/>
        <item x="8"/>
        <item x="2"/>
        <item x="0"/>
        <item x="4"/>
        <item x="12"/>
        <item t="default"/>
      </items>
    </pivotField>
    <pivotField numFmtId="165"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pivotField showAll="0"/>
    <pivotField dataField="1" numFmtId="2" showAll="0"/>
    <pivotField showAll="0"/>
    <pivotField showAll="0"/>
    <pivotField numFmtId="2" showAll="0"/>
  </pivotFields>
  <rowFields count="1">
    <field x="12"/>
  </rowFields>
  <rowItems count="6">
    <i>
      <x/>
    </i>
    <i>
      <x v="1"/>
    </i>
    <i>
      <x v="2"/>
    </i>
    <i>
      <x v="3"/>
    </i>
    <i>
      <x v="4"/>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2E1FA5-C836-44EF-B77A-738FE8A49DD9}"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7" firstHeaderRow="1" firstDataRow="1" firstDataCol="1"/>
  <pivotFields count="20">
    <pivotField showAll="0"/>
    <pivotField numFmtId="165" showAll="0">
      <items count="211">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207"/>
        <item x="17"/>
        <item x="75"/>
        <item x="13"/>
        <item x="115"/>
        <item x="21"/>
        <item x="69"/>
        <item x="196"/>
        <item x="178"/>
        <item x="41"/>
        <item x="143"/>
        <item x="167"/>
        <item x="173"/>
        <item x="183"/>
        <item x="131"/>
        <item x="134"/>
        <item x="195"/>
        <item x="74"/>
        <item x="206"/>
        <item x="198"/>
        <item x="30"/>
        <item x="112"/>
        <item x="1"/>
        <item x="26"/>
        <item x="23"/>
        <item x="190"/>
        <item x="188"/>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208"/>
        <item x="40"/>
        <item x="132"/>
        <item x="60"/>
        <item x="44"/>
        <item x="45"/>
        <item x="105"/>
        <item x="38"/>
        <item x="123"/>
        <item x="51"/>
        <item x="200"/>
        <item x="96"/>
        <item x="166"/>
        <item x="34"/>
        <item x="157"/>
        <item x="94"/>
        <item x="202"/>
        <item x="66"/>
        <item x="165"/>
        <item x="53"/>
        <item x="116"/>
        <item x="209"/>
        <item t="default"/>
      </items>
    </pivotField>
    <pivotField showAll="0">
      <items count="10">
        <item x="2"/>
        <item x="1"/>
        <item x="0"/>
        <item x="3"/>
        <item m="1" x="7"/>
        <item m="1" x="6"/>
        <item m="1" x="5"/>
        <item m="1" x="8"/>
        <item x="4"/>
        <item t="default"/>
      </items>
    </pivotField>
    <pivotField axis="axisRow" showAll="0">
      <items count="14">
        <item x="9"/>
        <item x="11"/>
        <item x="10"/>
        <item x="3"/>
        <item x="5"/>
        <item x="1"/>
        <item x="7"/>
        <item x="6"/>
        <item x="8"/>
        <item x="2"/>
        <item x="0"/>
        <item x="4"/>
        <item x="12"/>
        <item t="default"/>
      </items>
    </pivotField>
    <pivotField numFmtId="165" showAll="0">
      <items count="218">
        <item x="189"/>
        <item x="70"/>
        <item x="86"/>
        <item x="139"/>
        <item x="167"/>
        <item x="8"/>
        <item x="104"/>
        <item x="161"/>
        <item x="200"/>
        <item x="3"/>
        <item x="175"/>
        <item x="137"/>
        <item x="151"/>
        <item x="90"/>
        <item x="75"/>
        <item x="128"/>
        <item x="55"/>
        <item x="83"/>
        <item x="9"/>
        <item x="74"/>
        <item x="178"/>
        <item x="101"/>
        <item x="76"/>
        <item x="110"/>
        <item x="160"/>
        <item x="131"/>
        <item x="59"/>
        <item x="148"/>
        <item x="127"/>
        <item x="197"/>
        <item x="36"/>
        <item x="21"/>
        <item x="65"/>
        <item x="199"/>
        <item x="130"/>
        <item x="193"/>
        <item x="7"/>
        <item x="81"/>
        <item x="158"/>
        <item x="34"/>
        <item x="80"/>
        <item x="28"/>
        <item x="182"/>
        <item x="166"/>
        <item x="58"/>
        <item x="129"/>
        <item x="124"/>
        <item x="96"/>
        <item x="191"/>
        <item x="43"/>
        <item x="95"/>
        <item x="100"/>
        <item x="56"/>
        <item x="206"/>
        <item x="211"/>
        <item x="57"/>
        <item x="23"/>
        <item x="32"/>
        <item x="27"/>
        <item x="123"/>
        <item x="68"/>
        <item x="69"/>
        <item x="138"/>
        <item x="155"/>
        <item x="116"/>
        <item x="99"/>
        <item x="136"/>
        <item x="37"/>
        <item x="64"/>
        <item x="14"/>
        <item x="118"/>
        <item x="12"/>
        <item x="119"/>
        <item x="84"/>
        <item x="2"/>
        <item x="52"/>
        <item x="164"/>
        <item x="85"/>
        <item x="112"/>
        <item x="50"/>
        <item x="78"/>
        <item x="6"/>
        <item x="26"/>
        <item x="156"/>
        <item x="107"/>
        <item x="157"/>
        <item x="79"/>
        <item x="190"/>
        <item x="140"/>
        <item x="98"/>
        <item x="16"/>
        <item x="214"/>
        <item x="13"/>
        <item x="113"/>
        <item x="20"/>
        <item x="67"/>
        <item x="202"/>
        <item x="187"/>
        <item x="41"/>
        <item x="144"/>
        <item x="172"/>
        <item x="180"/>
        <item x="132"/>
        <item x="145"/>
        <item x="135"/>
        <item x="72"/>
        <item x="201"/>
        <item x="213"/>
        <item x="204"/>
        <item x="29"/>
        <item x="181"/>
        <item x="103"/>
        <item x="111"/>
        <item x="183"/>
        <item x="35"/>
        <item x="1"/>
        <item x="25"/>
        <item x="22"/>
        <item x="196"/>
        <item x="194"/>
        <item x="18"/>
        <item x="203"/>
        <item x="134"/>
        <item x="48"/>
        <item x="143"/>
        <item x="62"/>
        <item x="165"/>
        <item x="47"/>
        <item x="126"/>
        <item x="106"/>
        <item x="42"/>
        <item x="30"/>
        <item x="152"/>
        <item x="61"/>
        <item x="149"/>
        <item x="208"/>
        <item x="154"/>
        <item x="97"/>
        <item x="195"/>
        <item x="121"/>
        <item x="54"/>
        <item x="0"/>
        <item x="73"/>
        <item x="71"/>
        <item x="82"/>
        <item x="49"/>
        <item x="66"/>
        <item x="5"/>
        <item x="10"/>
        <item x="105"/>
        <item x="24"/>
        <item x="120"/>
        <item x="185"/>
        <item x="212"/>
        <item x="210"/>
        <item x="60"/>
        <item x="174"/>
        <item x="146"/>
        <item x="186"/>
        <item x="192"/>
        <item x="102"/>
        <item x="125"/>
        <item x="4"/>
        <item x="77"/>
        <item x="39"/>
        <item x="150"/>
        <item x="92"/>
        <item x="109"/>
        <item x="198"/>
        <item x="141"/>
        <item x="46"/>
        <item x="171"/>
        <item x="89"/>
        <item x="162"/>
        <item x="142"/>
        <item x="88"/>
        <item x="11"/>
        <item x="176"/>
        <item x="153"/>
        <item x="17"/>
        <item x="31"/>
        <item x="184"/>
        <item x="19"/>
        <item x="147"/>
        <item x="179"/>
        <item x="117"/>
        <item x="163"/>
        <item x="15"/>
        <item x="188"/>
        <item x="215"/>
        <item x="40"/>
        <item x="133"/>
        <item x="170"/>
        <item x="173"/>
        <item x="45"/>
        <item x="44"/>
        <item x="87"/>
        <item x="205"/>
        <item x="38"/>
        <item x="122"/>
        <item x="177"/>
        <item x="207"/>
        <item x="51"/>
        <item x="108"/>
        <item x="94"/>
        <item x="33"/>
        <item x="169"/>
        <item x="114"/>
        <item x="93"/>
        <item x="159"/>
        <item x="91"/>
        <item x="209"/>
        <item x="63"/>
        <item x="168"/>
        <item x="53"/>
        <item x="115"/>
        <item x="216"/>
        <item t="default"/>
      </items>
    </pivotField>
    <pivotField showAll="0">
      <items count="10">
        <item x="7"/>
        <item x="6"/>
        <item x="4"/>
        <item x="0"/>
        <item x="1"/>
        <item x="3"/>
        <item x="5"/>
        <item x="2"/>
        <item x="8"/>
        <item t="default"/>
      </items>
    </pivotField>
    <pivotField showAll="0">
      <items count="6">
        <item x="2"/>
        <item x="3"/>
        <item x="0"/>
        <item x="1"/>
        <item x="4"/>
        <item t="default"/>
      </items>
    </pivotField>
    <pivotField showAll="0">
      <items count="209">
        <item x="144"/>
        <item x="57"/>
        <item x="124"/>
        <item x="117"/>
        <item x="127"/>
        <item x="8"/>
        <item x="155"/>
        <item x="87"/>
        <item x="153"/>
        <item x="141"/>
        <item x="4"/>
        <item x="122"/>
        <item x="132"/>
        <item x="165"/>
        <item x="151"/>
        <item x="195"/>
        <item x="121"/>
        <item x="162"/>
        <item x="78"/>
        <item x="130"/>
        <item x="202"/>
        <item x="179"/>
        <item x="29"/>
        <item x="205"/>
        <item x="3"/>
        <item x="94"/>
        <item x="194"/>
        <item x="170"/>
        <item x="90"/>
        <item x="79"/>
        <item x="119"/>
        <item x="200"/>
        <item x="37"/>
        <item x="0"/>
        <item x="118"/>
        <item x="142"/>
        <item x="52"/>
        <item x="128"/>
        <item x="113"/>
        <item x="51"/>
        <item x="112"/>
        <item x="24"/>
        <item x="1"/>
        <item x="72"/>
        <item x="54"/>
        <item x="106"/>
        <item x="83"/>
        <item x="103"/>
        <item x="2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201"/>
        <item x="93"/>
        <item x="198"/>
        <item x="199"/>
        <item x="88"/>
        <item x="89"/>
        <item x="15"/>
        <item x="204"/>
        <item x="67"/>
        <item x="77"/>
        <item x="186"/>
        <item x="149"/>
        <item x="172"/>
        <item x="99"/>
        <item x="192"/>
        <item x="177"/>
        <item x="160"/>
        <item x="152"/>
        <item x="173"/>
        <item x="159"/>
        <item x="134"/>
        <item x="71"/>
        <item x="125"/>
        <item x="73"/>
        <item x="21"/>
        <item x="43"/>
        <item x="206"/>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x="207"/>
        <item t="default"/>
      </items>
    </pivotField>
    <pivotField showAll="0">
      <items count="5">
        <item x="0"/>
        <item x="1"/>
        <item x="2"/>
        <item x="3"/>
        <item t="default"/>
      </items>
    </pivotField>
    <pivotField showAll="0">
      <items count="3">
        <item x="0"/>
        <item x="1"/>
        <item t="default"/>
      </items>
    </pivotField>
    <pivotField showAll="0">
      <items count="124">
        <item x="59"/>
        <item x="112"/>
        <item x="81"/>
        <item x="82"/>
        <item x="118"/>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119"/>
        <item x="55"/>
        <item x="120"/>
        <item x="83"/>
        <item x="57"/>
        <item x="92"/>
        <item x="0"/>
        <item x="86"/>
        <item x="12"/>
        <item x="101"/>
        <item x="114"/>
        <item x="44"/>
        <item x="75"/>
        <item x="25"/>
        <item x="108"/>
        <item x="121"/>
        <item x="69"/>
        <item x="80"/>
        <item x="98"/>
        <item x="104"/>
        <item x="88"/>
        <item x="113"/>
        <item x="85"/>
        <item x="1"/>
        <item x="103"/>
        <item x="90"/>
        <item x="6"/>
        <item x="91"/>
        <item x="64"/>
        <item x="15"/>
        <item x="26"/>
        <item x="100"/>
        <item x="31"/>
        <item x="53"/>
        <item x="73"/>
        <item x="87"/>
        <item x="14"/>
        <item x="19"/>
        <item x="106"/>
        <item x="20"/>
        <item x="46"/>
        <item x="110"/>
        <item x="11"/>
        <item x="36"/>
        <item x="111"/>
        <item x="117"/>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x="122"/>
        <item t="default"/>
      </items>
    </pivotField>
    <pivotField showAll="0">
      <items count="40">
        <item x="19"/>
        <item x="16"/>
        <item x="36"/>
        <item x="1"/>
        <item x="22"/>
        <item x="29"/>
        <item x="13"/>
        <item x="2"/>
        <item x="32"/>
        <item x="10"/>
        <item x="14"/>
        <item x="23"/>
        <item x="0"/>
        <item x="28"/>
        <item x="31"/>
        <item x="12"/>
        <item x="11"/>
        <item x="35"/>
        <item x="25"/>
        <item x="37"/>
        <item x="8"/>
        <item x="33"/>
        <item x="30"/>
        <item x="27"/>
        <item x="15"/>
        <item x="3"/>
        <item x="24"/>
        <item x="26"/>
        <item x="21"/>
        <item x="9"/>
        <item x="34"/>
        <item x="20"/>
        <item x="18"/>
        <item x="5"/>
        <item x="7"/>
        <item x="17"/>
        <item x="4"/>
        <item x="6"/>
        <item x="38"/>
        <item t="default"/>
      </items>
    </pivotField>
    <pivotField showAll="0">
      <items count="6">
        <item x="2"/>
        <item x="3"/>
        <item x="0"/>
        <item x="1"/>
        <item x="4"/>
        <item t="default"/>
      </items>
    </pivotField>
    <pivotField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items count="462">
        <item x="315"/>
        <item x="36"/>
        <item x="77"/>
        <item x="348"/>
        <item x="341"/>
        <item x="403"/>
        <item x="180"/>
        <item x="396"/>
        <item x="74"/>
        <item x="93"/>
        <item x="294"/>
        <item x="234"/>
        <item x="165"/>
        <item x="405"/>
        <item x="312"/>
        <item x="31"/>
        <item x="61"/>
        <item x="22"/>
        <item x="350"/>
        <item x="167"/>
        <item x="317"/>
        <item x="160"/>
        <item x="224"/>
        <item x="250"/>
        <item x="243"/>
        <item x="201"/>
        <item x="42"/>
        <item x="52"/>
        <item x="194"/>
        <item x="452"/>
        <item x="260"/>
        <item x="333"/>
        <item x="424"/>
        <item x="386"/>
        <item x="368"/>
        <item x="247"/>
        <item x="343"/>
        <item x="126"/>
        <item x="140"/>
        <item x="427"/>
        <item x="57"/>
        <item x="116"/>
        <item x="285"/>
        <item x="299"/>
        <item x="53"/>
        <item x="171"/>
        <item x="37"/>
        <item x="177"/>
        <item x="149"/>
        <item x="49"/>
        <item x="252"/>
        <item x="197"/>
        <item x="283"/>
        <item x="164"/>
        <item x="85"/>
        <item x="261"/>
        <item x="148"/>
        <item x="391"/>
        <item x="319"/>
        <item x="68"/>
        <item x="109"/>
        <item x="122"/>
        <item x="78"/>
        <item x="98"/>
        <item x="355"/>
        <item x="304"/>
        <item x="96"/>
        <item x="174"/>
        <item x="273"/>
        <item x="27"/>
        <item x="102"/>
        <item x="240"/>
        <item x="433"/>
        <item x="230"/>
        <item x="142"/>
        <item x="318"/>
        <item x="9"/>
        <item x="398"/>
        <item x="382"/>
        <item x="208"/>
        <item x="121"/>
        <item x="255"/>
        <item x="358"/>
        <item x="366"/>
        <item x="153"/>
        <item x="310"/>
        <item x="181"/>
        <item x="182"/>
        <item x="254"/>
        <item x="395"/>
        <item x="278"/>
        <item x="30"/>
        <item x="287"/>
        <item x="187"/>
        <item x="274"/>
        <item x="188"/>
        <item x="3"/>
        <item x="214"/>
        <item x="365"/>
        <item x="406"/>
        <item x="213"/>
        <item x="410"/>
        <item x="0"/>
        <item x="263"/>
        <item x="383"/>
        <item x="451"/>
        <item x="289"/>
        <item x="345"/>
        <item x="411"/>
        <item x="455"/>
        <item x="10"/>
        <item x="199"/>
        <item x="237"/>
        <item x="19"/>
        <item x="419"/>
        <item x="435"/>
        <item x="280"/>
        <item x="48"/>
        <item x="431"/>
        <item x="374"/>
        <item x="117"/>
        <item x="352"/>
        <item x="135"/>
        <item x="372"/>
        <item x="342"/>
        <item x="183"/>
        <item x="416"/>
        <item x="101"/>
        <item x="437"/>
        <item x="284"/>
        <item x="399"/>
        <item x="377"/>
        <item x="316"/>
        <item x="288"/>
        <item x="8"/>
        <item x="412"/>
        <item x="73"/>
        <item x="222"/>
        <item x="190"/>
        <item x="41"/>
        <item x="125"/>
        <item x="266"/>
        <item x="76"/>
        <item x="282"/>
        <item x="5"/>
        <item x="4"/>
        <item x="388"/>
        <item x="86"/>
        <item x="251"/>
        <item x="322"/>
        <item x="275"/>
        <item x="35"/>
        <item x="376"/>
        <item x="235"/>
        <item x="189"/>
        <item x="204"/>
        <item x="447"/>
        <item x="279"/>
        <item x="394"/>
        <item x="387"/>
        <item x="95"/>
        <item x="430"/>
        <item x="13"/>
        <item x="446"/>
        <item x="228"/>
        <item x="409"/>
        <item x="421"/>
        <item x="17"/>
        <item x="326"/>
        <item x="295"/>
        <item x="133"/>
        <item x="92"/>
        <item x="272"/>
        <item x="277"/>
        <item x="115"/>
        <item x="313"/>
        <item x="212"/>
        <item x="298"/>
        <item x="141"/>
        <item x="378"/>
        <item x="439"/>
        <item x="334"/>
        <item x="258"/>
        <item x="375"/>
        <item x="132"/>
        <item x="34"/>
        <item x="392"/>
        <item x="459"/>
        <item x="120"/>
        <item x="265"/>
        <item x="23"/>
        <item x="385"/>
        <item x="320"/>
        <item x="38"/>
        <item x="401"/>
        <item x="226"/>
        <item x="51"/>
        <item x="210"/>
        <item x="211"/>
        <item x="124"/>
        <item x="440"/>
        <item x="64"/>
        <item x="162"/>
        <item x="118"/>
        <item x="195"/>
        <item x="45"/>
        <item x="453"/>
        <item x="303"/>
        <item x="70"/>
        <item x="332"/>
        <item x="14"/>
        <item x="54"/>
        <item x="296"/>
        <item x="281"/>
        <item x="402"/>
        <item x="306"/>
        <item x="1"/>
        <item x="373"/>
        <item x="338"/>
        <item x="114"/>
        <item x="225"/>
        <item x="264"/>
        <item x="28"/>
        <item x="436"/>
        <item x="173"/>
        <item x="65"/>
        <item x="108"/>
        <item x="178"/>
        <item x="267"/>
        <item x="300"/>
        <item x="91"/>
        <item x="131"/>
        <item x="426"/>
        <item x="458"/>
        <item x="46"/>
        <item x="25"/>
        <item x="170"/>
        <item x="422"/>
        <item x="381"/>
        <item x="143"/>
        <item x="159"/>
        <item x="81"/>
        <item x="163"/>
        <item x="158"/>
        <item x="370"/>
        <item x="221"/>
        <item x="119"/>
        <item x="11"/>
        <item x="151"/>
        <item x="380"/>
        <item x="340"/>
        <item x="154"/>
        <item x="47"/>
        <item x="244"/>
        <item x="423"/>
        <item x="404"/>
        <item x="100"/>
        <item x="429"/>
        <item x="339"/>
        <item x="231"/>
        <item x="262"/>
        <item x="292"/>
        <item x="106"/>
        <item x="84"/>
        <item x="216"/>
        <item x="50"/>
        <item x="32"/>
        <item x="63"/>
        <item x="219"/>
        <item x="107"/>
        <item x="196"/>
        <item x="400"/>
        <item x="103"/>
        <item x="256"/>
        <item x="329"/>
        <item x="238"/>
        <item x="7"/>
        <item x="457"/>
        <item x="327"/>
        <item x="290"/>
        <item x="66"/>
        <item x="147"/>
        <item x="308"/>
        <item x="450"/>
        <item x="21"/>
        <item x="6"/>
        <item x="328"/>
        <item x="449"/>
        <item x="248"/>
        <item x="321"/>
        <item x="18"/>
        <item x="397"/>
        <item x="134"/>
        <item x="444"/>
        <item x="393"/>
        <item x="276"/>
        <item x="105"/>
        <item x="172"/>
        <item x="191"/>
        <item x="344"/>
        <item x="363"/>
        <item x="83"/>
        <item x="56"/>
        <item x="331"/>
        <item x="390"/>
        <item x="291"/>
        <item x="307"/>
        <item x="202"/>
        <item x="110"/>
        <item x="198"/>
        <item x="362"/>
        <item x="425"/>
        <item x="166"/>
        <item x="193"/>
        <item x="40"/>
        <item x="445"/>
        <item x="176"/>
        <item x="324"/>
        <item x="139"/>
        <item x="39"/>
        <item x="58"/>
        <item x="407"/>
        <item x="29"/>
        <item x="249"/>
        <item x="420"/>
        <item x="59"/>
        <item x="259"/>
        <item x="408"/>
        <item x="79"/>
        <item x="184"/>
        <item x="246"/>
        <item x="220"/>
        <item x="239"/>
        <item x="417"/>
        <item x="242"/>
        <item x="111"/>
        <item x="245"/>
        <item x="26"/>
        <item x="209"/>
        <item x="443"/>
        <item x="253"/>
        <item x="297"/>
        <item x="232"/>
        <item x="156"/>
        <item x="413"/>
        <item x="241"/>
        <item x="233"/>
        <item x="82"/>
        <item x="72"/>
        <item x="223"/>
        <item x="415"/>
        <item x="448"/>
        <item x="175"/>
        <item x="97"/>
        <item x="130"/>
        <item x="168"/>
        <item x="157"/>
        <item x="207"/>
        <item x="137"/>
        <item x="314"/>
        <item x="414"/>
        <item x="2"/>
        <item x="360"/>
        <item x="90"/>
        <item x="138"/>
        <item x="356"/>
        <item x="75"/>
        <item x="67"/>
        <item x="337"/>
        <item x="353"/>
        <item x="200"/>
        <item x="432"/>
        <item x="80"/>
        <item x="144"/>
        <item x="186"/>
        <item x="335"/>
        <item x="155"/>
        <item x="104"/>
        <item x="428"/>
        <item x="309"/>
        <item x="336"/>
        <item x="206"/>
        <item x="33"/>
        <item x="302"/>
        <item x="15"/>
        <item x="441"/>
        <item x="434"/>
        <item x="16"/>
        <item x="351"/>
        <item x="205"/>
        <item x="69"/>
        <item x="293"/>
        <item x="215"/>
        <item x="169"/>
        <item x="146"/>
        <item x="71"/>
        <item x="192"/>
        <item x="454"/>
        <item x="270"/>
        <item x="123"/>
        <item x="94"/>
        <item x="305"/>
        <item x="347"/>
        <item x="87"/>
        <item x="113"/>
        <item x="229"/>
        <item x="99"/>
        <item x="43"/>
        <item x="60"/>
        <item x="268"/>
        <item x="438"/>
        <item x="371"/>
        <item x="203"/>
        <item x="442"/>
        <item x="369"/>
        <item x="323"/>
        <item x="24"/>
        <item x="346"/>
        <item x="301"/>
        <item x="20"/>
        <item x="152"/>
        <item x="44"/>
        <item x="357"/>
        <item x="185"/>
        <item x="227"/>
        <item x="359"/>
        <item x="379"/>
        <item x="129"/>
        <item x="311"/>
        <item x="145"/>
        <item x="384"/>
        <item x="361"/>
        <item x="364"/>
        <item x="136"/>
        <item x="418"/>
        <item x="161"/>
        <item x="127"/>
        <item x="150"/>
        <item x="112"/>
        <item x="325"/>
        <item x="271"/>
        <item x="62"/>
        <item x="128"/>
        <item x="218"/>
        <item x="349"/>
        <item x="330"/>
        <item x="12"/>
        <item x="354"/>
        <item x="367"/>
        <item x="88"/>
        <item x="89"/>
        <item x="179"/>
        <item x="286"/>
        <item x="257"/>
        <item x="269"/>
        <item x="55"/>
        <item x="217"/>
        <item x="389"/>
        <item x="236"/>
        <item x="456"/>
        <item x="460"/>
        <item t="default"/>
      </items>
    </pivotField>
    <pivotField dataField="1" numFmtId="2" showAll="0">
      <items count="501">
        <item x="75"/>
        <item x="255"/>
        <item x="61"/>
        <item x="99"/>
        <item x="271"/>
        <item x="221"/>
        <item x="477"/>
        <item x="123"/>
        <item x="15"/>
        <item x="198"/>
        <item x="367"/>
        <item x="479"/>
        <item x="422"/>
        <item x="194"/>
        <item x="366"/>
        <item x="334"/>
        <item x="30"/>
        <item x="175"/>
        <item x="106"/>
        <item x="133"/>
        <item x="238"/>
        <item x="70"/>
        <item x="111"/>
        <item x="320"/>
        <item x="408"/>
        <item x="443"/>
        <item x="410"/>
        <item x="297"/>
        <item x="319"/>
        <item x="325"/>
        <item x="266"/>
        <item x="229"/>
        <item x="345"/>
        <item x="215"/>
        <item x="94"/>
        <item x="396"/>
        <item x="486"/>
        <item x="456"/>
        <item x="156"/>
        <item x="192"/>
        <item x="51"/>
        <item x="301"/>
        <item x="90"/>
        <item x="153"/>
        <item x="405"/>
        <item x="333"/>
        <item x="32"/>
        <item x="485"/>
        <item x="181"/>
        <item x="6"/>
        <item x="348"/>
        <item x="191"/>
        <item x="261"/>
        <item x="244"/>
        <item x="323"/>
        <item x="462"/>
        <item x="352"/>
        <item x="338"/>
        <item x="480"/>
        <item x="18"/>
        <item x="357"/>
        <item x="138"/>
        <item x="433"/>
        <item x="455"/>
        <item x="354"/>
        <item x="397"/>
        <item x="380"/>
        <item x="28"/>
        <item x="387"/>
        <item x="76"/>
        <item x="294"/>
        <item x="160"/>
        <item x="232"/>
        <item x="139"/>
        <item x="267"/>
        <item x="466"/>
        <item x="132"/>
        <item x="25"/>
        <item x="235"/>
        <item x="489"/>
        <item x="248"/>
        <item x="359"/>
        <item x="416"/>
        <item x="372"/>
        <item x="91"/>
        <item x="62"/>
        <item x="260"/>
        <item x="492"/>
        <item x="190"/>
        <item x="322"/>
        <item x="58"/>
        <item x="2"/>
        <item x="453"/>
        <item x="81"/>
        <item x="475"/>
        <item x="298"/>
        <item x="300"/>
        <item x="398"/>
        <item x="53"/>
        <item x="12"/>
        <item x="33"/>
        <item x="174"/>
        <item x="204"/>
        <item x="312"/>
        <item x="195"/>
        <item x="80"/>
        <item x="339"/>
        <item x="45"/>
        <item x="254"/>
        <item x="326"/>
        <item x="268"/>
        <item x="491"/>
        <item x="281"/>
        <item x="8"/>
        <item x="226"/>
        <item x="71"/>
        <item x="280"/>
        <item x="78"/>
        <item x="21"/>
        <item x="217"/>
        <item x="189"/>
        <item x="86"/>
        <item x="184"/>
        <item x="130"/>
        <item x="88"/>
        <item x="171"/>
        <item x="252"/>
        <item x="343"/>
        <item x="318"/>
        <item x="207"/>
        <item x="167"/>
        <item x="82"/>
        <item x="129"/>
        <item x="196"/>
        <item x="48"/>
        <item x="223"/>
        <item x="421"/>
        <item x="496"/>
        <item x="4"/>
        <item x="474"/>
        <item x="216"/>
        <item x="20"/>
        <item x="347"/>
        <item x="368"/>
        <item x="436"/>
        <item x="208"/>
        <item x="358"/>
        <item x="100"/>
        <item x="112"/>
        <item x="332"/>
        <item x="176"/>
        <item x="270"/>
        <item x="63"/>
        <item x="233"/>
        <item x="293"/>
        <item x="385"/>
        <item x="220"/>
        <item x="77"/>
        <item x="288"/>
        <item x="159"/>
        <item x="105"/>
        <item x="388"/>
        <item x="158"/>
        <item x="438"/>
        <item x="180"/>
        <item x="34"/>
        <item x="458"/>
        <item x="59"/>
        <item x="426"/>
        <item x="117"/>
        <item x="328"/>
        <item x="276"/>
        <item x="414"/>
        <item x="236"/>
        <item x="164"/>
        <item x="56"/>
        <item x="401"/>
        <item x="478"/>
        <item x="93"/>
        <item x="340"/>
        <item x="427"/>
        <item x="200"/>
        <item x="131"/>
        <item x="382"/>
        <item x="376"/>
        <item x="341"/>
        <item x="103"/>
        <item x="262"/>
        <item x="183"/>
        <item x="317"/>
        <item x="484"/>
        <item x="49"/>
        <item x="381"/>
        <item x="369"/>
        <item x="110"/>
        <item x="452"/>
        <item x="362"/>
        <item x="108"/>
        <item x="136"/>
        <item x="309"/>
        <item x="47"/>
        <item x="295"/>
        <item x="498"/>
        <item x="44"/>
        <item x="193"/>
        <item x="481"/>
        <item x="116"/>
        <item x="346"/>
        <item x="241"/>
        <item x="331"/>
        <item x="60"/>
        <item x="5"/>
        <item x="335"/>
        <item x="361"/>
        <item x="374"/>
        <item x="360"/>
        <item x="96"/>
        <item x="488"/>
        <item x="187"/>
        <item x="205"/>
        <item x="170"/>
        <item x="92"/>
        <item x="351"/>
        <item x="250"/>
        <item x="314"/>
        <item x="157"/>
        <item x="494"/>
        <item x="444"/>
        <item x="17"/>
        <item x="389"/>
        <item x="400"/>
        <item x="290"/>
        <item x="263"/>
        <item x="379"/>
        <item x="150"/>
        <item x="423"/>
        <item x="269"/>
        <item x="127"/>
        <item x="22"/>
        <item x="449"/>
        <item x="210"/>
        <item x="430"/>
        <item x="463"/>
        <item x="97"/>
        <item x="135"/>
        <item x="495"/>
        <item x="199"/>
        <item x="120"/>
        <item x="14"/>
        <item x="473"/>
        <item x="404"/>
        <item x="375"/>
        <item x="464"/>
        <item x="418"/>
        <item x="23"/>
        <item x="186"/>
        <item x="329"/>
        <item x="218"/>
        <item x="74"/>
        <item x="89"/>
        <item x="104"/>
        <item x="50"/>
        <item x="373"/>
        <item x="69"/>
        <item x="109"/>
        <item x="134"/>
        <item x="291"/>
        <item x="42"/>
        <item x="440"/>
        <item x="128"/>
        <item x="287"/>
        <item x="65"/>
        <item x="259"/>
        <item x="246"/>
        <item x="152"/>
        <item x="125"/>
        <item x="249"/>
        <item x="137"/>
        <item x="202"/>
        <item x="364"/>
        <item x="31"/>
        <item x="283"/>
        <item x="302"/>
        <item x="330"/>
        <item x="212"/>
        <item x="52"/>
        <item x="26"/>
        <item x="419"/>
        <item x="206"/>
        <item x="448"/>
        <item x="213"/>
        <item x="143"/>
        <item x="467"/>
        <item x="450"/>
        <item x="43"/>
        <item x="451"/>
        <item x="394"/>
        <item x="98"/>
        <item x="95"/>
        <item x="73"/>
        <item x="172"/>
        <item x="304"/>
        <item x="311"/>
        <item x="316"/>
        <item x="102"/>
        <item x="434"/>
        <item x="349"/>
        <item x="469"/>
        <item x="151"/>
        <item x="168"/>
        <item x="37"/>
        <item x="391"/>
        <item x="9"/>
        <item x="119"/>
        <item x="470"/>
        <item x="29"/>
        <item x="483"/>
        <item x="431"/>
        <item x="113"/>
        <item x="378"/>
        <item x="203"/>
        <item x="305"/>
        <item x="392"/>
        <item x="274"/>
        <item x="140"/>
        <item x="166"/>
        <item x="64"/>
        <item x="41"/>
        <item x="179"/>
        <item x="145"/>
        <item x="115"/>
        <item x="148"/>
        <item x="87"/>
        <item x="457"/>
        <item x="224"/>
        <item x="424"/>
        <item x="240"/>
        <item x="68"/>
        <item x="147"/>
        <item x="182"/>
        <item x="237"/>
        <item x="165"/>
        <item x="303"/>
        <item x="383"/>
        <item x="439"/>
        <item x="406"/>
        <item x="468"/>
        <item x="36"/>
        <item x="278"/>
        <item x="417"/>
        <item x="399"/>
        <item x="83"/>
        <item x="149"/>
        <item x="442"/>
        <item x="415"/>
        <item x="79"/>
        <item x="55"/>
        <item x="265"/>
        <item x="493"/>
        <item x="46"/>
        <item x="39"/>
        <item x="66"/>
        <item x="19"/>
        <item x="286"/>
        <item x="197"/>
        <item x="292"/>
        <item x="253"/>
        <item x="446"/>
        <item x="118"/>
        <item x="285"/>
        <item x="84"/>
        <item x="227"/>
        <item x="126"/>
        <item x="101"/>
        <item x="275"/>
        <item x="472"/>
        <item x="420"/>
        <item x="124"/>
        <item x="370"/>
        <item x="411"/>
        <item x="310"/>
        <item x="277"/>
        <item x="441"/>
        <item x="471"/>
        <item x="282"/>
        <item x="230"/>
        <item x="0"/>
        <item x="425"/>
        <item x="162"/>
        <item x="307"/>
        <item x="460"/>
        <item x="428"/>
        <item x="403"/>
        <item x="296"/>
        <item x="313"/>
        <item x="407"/>
        <item x="284"/>
        <item x="85"/>
        <item x="214"/>
        <item x="393"/>
        <item x="413"/>
        <item x="57"/>
        <item x="243"/>
        <item x="258"/>
        <item x="107"/>
        <item x="169"/>
        <item x="445"/>
        <item x="308"/>
        <item x="247"/>
        <item x="40"/>
        <item x="363"/>
        <item x="395"/>
        <item x="144"/>
        <item x="337"/>
        <item x="225"/>
        <item x="173"/>
        <item x="13"/>
        <item x="177"/>
        <item x="234"/>
        <item x="201"/>
        <item x="465"/>
        <item x="209"/>
        <item x="154"/>
        <item x="299"/>
        <item x="355"/>
        <item x="219"/>
        <item x="365"/>
        <item x="344"/>
        <item x="178"/>
        <item x="327"/>
        <item x="459"/>
        <item x="38"/>
        <item x="121"/>
        <item x="122"/>
        <item x="231"/>
        <item x="228"/>
        <item x="222"/>
        <item x="188"/>
        <item x="342"/>
        <item x="251"/>
        <item x="429"/>
        <item x="16"/>
        <item x="142"/>
        <item x="497"/>
        <item x="324"/>
        <item x="447"/>
        <item x="454"/>
        <item x="409"/>
        <item x="264"/>
        <item x="1"/>
        <item x="432"/>
        <item x="315"/>
        <item x="114"/>
        <item x="476"/>
        <item x="72"/>
        <item x="141"/>
        <item x="402"/>
        <item x="185"/>
        <item x="435"/>
        <item x="7"/>
        <item x="11"/>
        <item x="155"/>
        <item x="3"/>
        <item x="321"/>
        <item x="279"/>
        <item x="386"/>
        <item x="412"/>
        <item x="353"/>
        <item x="54"/>
        <item x="273"/>
        <item x="350"/>
        <item x="24"/>
        <item x="289"/>
        <item x="35"/>
        <item x="67"/>
        <item x="272"/>
        <item x="490"/>
        <item x="211"/>
        <item x="384"/>
        <item x="437"/>
        <item x="390"/>
        <item x="356"/>
        <item x="242"/>
        <item x="10"/>
        <item x="163"/>
        <item x="371"/>
        <item x="146"/>
        <item x="239"/>
        <item x="377"/>
        <item x="257"/>
        <item x="461"/>
        <item x="487"/>
        <item x="256"/>
        <item x="27"/>
        <item x="245"/>
        <item x="306"/>
        <item x="336"/>
        <item x="482"/>
        <item x="161"/>
        <item x="499"/>
        <item t="default"/>
      </items>
    </pivotField>
    <pivotField showAll="0">
      <items count="16">
        <item x="7"/>
        <item x="0"/>
        <item x="1"/>
        <item x="4"/>
        <item x="2"/>
        <item x="5"/>
        <item x="3"/>
        <item x="8"/>
        <item x="6"/>
        <item x="12"/>
        <item x="10"/>
        <item x="13"/>
        <item x="11"/>
        <item x="9"/>
        <item x="14"/>
        <item t="default"/>
      </items>
    </pivotField>
    <pivotField showAll="0">
      <items count="14">
        <item x="0"/>
        <item x="9"/>
        <item x="11"/>
        <item x="2"/>
        <item x="4"/>
        <item x="8"/>
        <item x="10"/>
        <item x="1"/>
        <item x="5"/>
        <item x="7"/>
        <item x="6"/>
        <item x="3"/>
        <item x="12"/>
        <item t="default"/>
      </items>
    </pivotField>
    <pivotField numFmtId="2" showAll="0">
      <items count="517">
        <item x="27"/>
        <item x="163"/>
        <item x="213"/>
        <item x="451"/>
        <item x="259"/>
        <item x="167"/>
        <item x="336"/>
        <item x="124"/>
        <item x="221"/>
        <item x="3"/>
        <item x="236"/>
        <item x="377"/>
        <item x="389"/>
        <item x="455"/>
        <item x="368"/>
        <item x="323"/>
        <item x="260"/>
        <item x="230"/>
        <item x="211"/>
        <item x="174"/>
        <item x="285"/>
        <item x="201"/>
        <item x="283"/>
        <item x="199"/>
        <item x="375"/>
        <item x="36"/>
        <item x="419"/>
        <item x="299"/>
        <item x="172"/>
        <item x="14"/>
        <item x="239"/>
        <item x="117"/>
        <item x="72"/>
        <item x="398"/>
        <item x="229"/>
        <item x="445"/>
        <item x="482"/>
        <item x="441"/>
        <item x="321"/>
        <item x="293"/>
        <item x="164"/>
        <item x="84"/>
        <item x="289"/>
        <item x="38"/>
        <item x="456"/>
        <item x="453"/>
        <item x="390"/>
        <item x="473"/>
        <item x="366"/>
        <item x="226"/>
        <item x="325"/>
        <item x="102"/>
        <item x="507"/>
        <item x="104"/>
        <item x="165"/>
        <item x="292"/>
        <item x="444"/>
        <item x="508"/>
        <item x="452"/>
        <item x="326"/>
        <item x="384"/>
        <item x="369"/>
        <item x="252"/>
        <item x="371"/>
        <item x="424"/>
        <item x="403"/>
        <item x="74"/>
        <item x="333"/>
        <item x="66"/>
        <item x="39"/>
        <item x="488"/>
        <item x="212"/>
        <item x="78"/>
        <item x="219"/>
        <item x="327"/>
        <item x="228"/>
        <item x="510"/>
        <item x="129"/>
        <item x="489"/>
        <item x="175"/>
        <item x="99"/>
        <item x="127"/>
        <item x="123"/>
        <item x="251"/>
        <item x="457"/>
        <item x="233"/>
        <item x="265"/>
        <item x="28"/>
        <item x="76"/>
        <item x="32"/>
        <item x="363"/>
        <item x="348"/>
        <item x="237"/>
        <item x="258"/>
        <item x="103"/>
        <item x="15"/>
        <item x="94"/>
        <item x="176"/>
        <item x="423"/>
        <item x="231"/>
        <item x="277"/>
        <item x="328"/>
        <item x="100"/>
        <item x="240"/>
        <item x="196"/>
        <item x="339"/>
        <item x="75"/>
        <item x="491"/>
        <item x="125"/>
        <item x="376"/>
        <item x="23"/>
        <item x="421"/>
        <item x="232"/>
        <item x="359"/>
        <item x="225"/>
        <item x="200"/>
        <item x="264"/>
        <item x="379"/>
        <item x="418"/>
        <item x="476"/>
        <item x="500"/>
        <item x="391"/>
        <item x="494"/>
        <item x="378"/>
        <item x="61"/>
        <item x="365"/>
        <item x="223"/>
        <item x="320"/>
        <item x="345"/>
        <item x="107"/>
        <item x="30"/>
        <item x="335"/>
        <item x="193"/>
        <item x="73"/>
        <item x="159"/>
        <item x="435"/>
        <item x="177"/>
        <item x="356"/>
        <item x="272"/>
        <item x="194"/>
        <item x="329"/>
        <item x="113"/>
        <item x="470"/>
        <item x="501"/>
        <item x="307"/>
        <item x="70"/>
        <item x="155"/>
        <item x="217"/>
        <item x="178"/>
        <item x="469"/>
        <item x="6"/>
        <item x="135"/>
        <item x="304"/>
        <item x="308"/>
        <item x="106"/>
        <item x="495"/>
        <item x="344"/>
        <item x="428"/>
        <item x="269"/>
        <item x="334"/>
        <item x="140"/>
        <item x="18"/>
        <item x="4"/>
        <item x="370"/>
        <item x="158"/>
        <item x="409"/>
        <item x="222"/>
        <item x="77"/>
        <item x="162"/>
        <item x="332"/>
        <item x="408"/>
        <item x="301"/>
        <item x="51"/>
        <item x="341"/>
        <item x="90"/>
        <item x="59"/>
        <item x="446"/>
        <item x="322"/>
        <item x="459"/>
        <item x="183"/>
        <item x="134"/>
        <item x="392"/>
        <item x="33"/>
        <item x="247"/>
        <item x="317"/>
        <item x="305"/>
        <item x="388"/>
        <item x="429"/>
        <item x="208"/>
        <item x="185"/>
        <item x="349"/>
        <item x="42"/>
        <item x="253"/>
        <item x="271"/>
        <item x="273"/>
        <item x="270"/>
        <item x="343"/>
        <item x="81"/>
        <item x="25"/>
        <item x="214"/>
        <item x="331"/>
        <item x="399"/>
        <item x="362"/>
        <item x="263"/>
        <item x="234"/>
        <item x="340"/>
        <item x="47"/>
        <item x="21"/>
        <item x="480"/>
        <item x="141"/>
        <item x="514"/>
        <item x="506"/>
        <item x="493"/>
        <item x="504"/>
        <item x="12"/>
        <item x="8"/>
        <item x="197"/>
        <item x="454"/>
        <item x="204"/>
        <item x="274"/>
        <item x="275"/>
        <item x="147"/>
        <item x="48"/>
        <item x="257"/>
        <item x="62"/>
        <item x="478"/>
        <item x="82"/>
        <item x="91"/>
        <item x="287"/>
        <item x="186"/>
        <item x="53"/>
        <item x="209"/>
        <item x="173"/>
        <item x="191"/>
        <item x="298"/>
        <item x="467"/>
        <item x="88"/>
        <item x="256"/>
        <item x="286"/>
        <item x="192"/>
        <item x="198"/>
        <item x="86"/>
        <item x="166"/>
        <item x="2"/>
        <item x="255"/>
        <item x="131"/>
        <item x="350"/>
        <item x="58"/>
        <item x="410"/>
        <item x="450"/>
        <item x="57"/>
        <item x="465"/>
        <item x="182"/>
        <item x="20"/>
        <item x="206"/>
        <item x="114"/>
        <item x="380"/>
        <item x="439"/>
        <item x="80"/>
        <item x="45"/>
        <item x="218"/>
        <item x="89"/>
        <item x="338"/>
        <item x="46"/>
        <item x="413"/>
        <item x="311"/>
        <item x="276"/>
        <item x="71"/>
        <item x="374"/>
        <item x="210"/>
        <item x="479"/>
        <item x="168"/>
        <item x="440"/>
        <item x="294"/>
        <item x="63"/>
        <item x="235"/>
        <item x="386"/>
        <item x="43"/>
        <item x="132"/>
        <item x="202"/>
        <item x="161"/>
        <item x="394"/>
        <item x="31"/>
        <item x="437"/>
        <item x="393"/>
        <item x="169"/>
        <item x="354"/>
        <item x="34"/>
        <item x="17"/>
        <item x="337"/>
        <item x="139"/>
        <item x="477"/>
        <item x="512"/>
        <item x="358"/>
        <item x="460"/>
        <item x="434"/>
        <item x="295"/>
        <item x="282"/>
        <item x="109"/>
        <item x="415"/>
        <item x="238"/>
        <item x="352"/>
        <item x="342"/>
        <item x="427"/>
        <item x="496"/>
        <item x="101"/>
        <item x="26"/>
        <item x="492"/>
        <item x="195"/>
        <item x="499"/>
        <item x="245"/>
        <item x="300"/>
        <item x="145"/>
        <item x="316"/>
        <item x="481"/>
        <item x="397"/>
        <item x="16"/>
        <item x="111"/>
        <item x="160"/>
        <item x="381"/>
        <item x="400"/>
        <item x="87"/>
        <item x="119"/>
        <item x="503"/>
        <item x="5"/>
        <item x="112"/>
        <item x="412"/>
        <item x="472"/>
        <item x="151"/>
        <item x="436"/>
        <item x="29"/>
        <item x="56"/>
        <item x="22"/>
        <item x="351"/>
        <item x="19"/>
        <item x="93"/>
        <item x="207"/>
        <item x="60"/>
        <item x="92"/>
        <item x="41"/>
        <item x="133"/>
        <item x="52"/>
        <item x="373"/>
        <item x="474"/>
        <item x="105"/>
        <item x="150"/>
        <item x="96"/>
        <item x="49"/>
        <item x="486"/>
        <item x="118"/>
        <item x="137"/>
        <item x="449"/>
        <item x="220"/>
        <item x="466"/>
        <item x="122"/>
        <item x="44"/>
        <item x="188"/>
        <item x="291"/>
        <item x="144"/>
        <item x="431"/>
        <item x="138"/>
        <item x="357"/>
        <item x="302"/>
        <item x="154"/>
        <item x="387"/>
        <item x="509"/>
        <item x="171"/>
        <item x="266"/>
        <item x="310"/>
        <item x="65"/>
        <item x="249"/>
        <item x="97"/>
        <item x="98"/>
        <item x="216"/>
        <item x="110"/>
        <item x="487"/>
        <item x="184"/>
        <item x="346"/>
        <item x="430"/>
        <item x="243"/>
        <item x="312"/>
        <item x="284"/>
        <item x="189"/>
        <item x="443"/>
        <item x="462"/>
        <item x="372"/>
        <item x="385"/>
        <item x="406"/>
        <item x="215"/>
        <item x="128"/>
        <item x="152"/>
        <item x="458"/>
        <item x="136"/>
        <item x="405"/>
        <item x="511"/>
        <item x="296"/>
        <item x="401"/>
        <item x="382"/>
        <item x="246"/>
        <item x="261"/>
        <item x="463"/>
        <item x="433"/>
        <item x="360"/>
        <item x="130"/>
        <item x="417"/>
        <item x="126"/>
        <item x="367"/>
        <item x="402"/>
        <item x="85"/>
        <item x="324"/>
        <item x="9"/>
        <item x="319"/>
        <item x="262"/>
        <item x="50"/>
        <item x="37"/>
        <item x="205"/>
        <item x="69"/>
        <item x="447"/>
        <item x="309"/>
        <item x="395"/>
        <item x="297"/>
        <item x="407"/>
        <item x="484"/>
        <item x="498"/>
        <item x="95"/>
        <item x="242"/>
        <item x="40"/>
        <item x="0"/>
        <item x="181"/>
        <item x="432"/>
        <item x="513"/>
        <item x="425"/>
        <item x="227"/>
        <item x="115"/>
        <item x="203"/>
        <item x="464"/>
        <item x="190"/>
        <item x="280"/>
        <item x="281"/>
        <item x="153"/>
        <item x="490"/>
        <item x="156"/>
        <item x="483"/>
        <item x="121"/>
        <item x="279"/>
        <item x="55"/>
        <item x="306"/>
        <item x="170"/>
        <item x="288"/>
        <item x="420"/>
        <item x="79"/>
        <item x="505"/>
        <item x="411"/>
        <item x="254"/>
        <item x="471"/>
        <item x="83"/>
        <item x="68"/>
        <item x="120"/>
        <item x="404"/>
        <item x="442"/>
        <item x="108"/>
        <item x="11"/>
        <item x="64"/>
        <item x="142"/>
        <item x="438"/>
        <item x="179"/>
        <item x="290"/>
        <item x="314"/>
        <item x="149"/>
        <item x="318"/>
        <item x="485"/>
        <item x="303"/>
        <item x="468"/>
        <item x="10"/>
        <item x="355"/>
        <item x="461"/>
        <item x="7"/>
        <item x="268"/>
        <item x="146"/>
        <item x="67"/>
        <item x="187"/>
        <item x="426"/>
        <item x="35"/>
        <item x="315"/>
        <item x="180"/>
        <item x="13"/>
        <item x="224"/>
        <item x="416"/>
        <item x="250"/>
        <item x="116"/>
        <item x="353"/>
        <item x="364"/>
        <item x="422"/>
        <item x="267"/>
        <item x="143"/>
        <item x="1"/>
        <item x="414"/>
        <item x="157"/>
        <item x="24"/>
        <item x="361"/>
        <item x="54"/>
        <item x="330"/>
        <item x="475"/>
        <item x="278"/>
        <item x="448"/>
        <item x="396"/>
        <item x="244"/>
        <item x="241"/>
        <item x="148"/>
        <item x="248"/>
        <item x="383"/>
        <item x="502"/>
        <item x="347"/>
        <item x="313"/>
        <item x="497"/>
        <item x="515"/>
        <item t="default"/>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Sum of Sales" fld="16" baseField="0" baseItem="0" numFmtId="2"/>
  </dataFields>
  <chartFormats count="3">
    <chartFormat chart="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089256-9494-4043-A71F-5313FD61F6FF}"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7" firstHeaderRow="1" firstDataRow="1" firstDataCol="1"/>
  <pivotFields count="20">
    <pivotField showAll="0"/>
    <pivotField numFmtId="165" showAll="0">
      <items count="211">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207"/>
        <item x="17"/>
        <item x="75"/>
        <item x="13"/>
        <item x="115"/>
        <item x="21"/>
        <item x="69"/>
        <item x="196"/>
        <item x="178"/>
        <item x="41"/>
        <item x="143"/>
        <item x="167"/>
        <item x="173"/>
        <item x="183"/>
        <item x="131"/>
        <item x="134"/>
        <item x="195"/>
        <item x="74"/>
        <item x="206"/>
        <item x="198"/>
        <item x="30"/>
        <item x="112"/>
        <item x="1"/>
        <item x="26"/>
        <item x="23"/>
        <item x="190"/>
        <item x="188"/>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208"/>
        <item x="40"/>
        <item x="132"/>
        <item x="60"/>
        <item x="44"/>
        <item x="45"/>
        <item x="105"/>
        <item x="38"/>
        <item x="123"/>
        <item x="51"/>
        <item x="200"/>
        <item x="96"/>
        <item x="166"/>
        <item x="34"/>
        <item x="157"/>
        <item x="94"/>
        <item x="202"/>
        <item x="66"/>
        <item x="165"/>
        <item x="53"/>
        <item x="116"/>
        <item x="209"/>
        <item t="default"/>
      </items>
    </pivotField>
    <pivotField showAll="0"/>
    <pivotField axis="axisRow" showAll="0">
      <items count="14">
        <item x="9"/>
        <item x="11"/>
        <item x="10"/>
        <item x="3"/>
        <item x="5"/>
        <item x="1"/>
        <item x="7"/>
        <item x="6"/>
        <item x="8"/>
        <item x="2"/>
        <item x="0"/>
        <item x="4"/>
        <item x="12"/>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dataField="1" numFmtId="2" showAll="0">
      <items count="517">
        <item x="27"/>
        <item x="163"/>
        <item x="213"/>
        <item x="451"/>
        <item x="259"/>
        <item x="167"/>
        <item x="336"/>
        <item x="124"/>
        <item x="221"/>
        <item x="3"/>
        <item x="236"/>
        <item x="377"/>
        <item x="389"/>
        <item x="455"/>
        <item x="368"/>
        <item x="323"/>
        <item x="260"/>
        <item x="230"/>
        <item x="211"/>
        <item x="174"/>
        <item x="285"/>
        <item x="201"/>
        <item x="283"/>
        <item x="199"/>
        <item x="375"/>
        <item x="36"/>
        <item x="419"/>
        <item x="299"/>
        <item x="172"/>
        <item x="14"/>
        <item x="239"/>
        <item x="117"/>
        <item x="72"/>
        <item x="398"/>
        <item x="229"/>
        <item x="445"/>
        <item x="482"/>
        <item x="441"/>
        <item x="321"/>
        <item x="293"/>
        <item x="164"/>
        <item x="84"/>
        <item x="289"/>
        <item x="38"/>
        <item x="456"/>
        <item x="453"/>
        <item x="390"/>
        <item x="473"/>
        <item x="366"/>
        <item x="226"/>
        <item x="325"/>
        <item x="102"/>
        <item x="507"/>
        <item x="104"/>
        <item x="165"/>
        <item x="292"/>
        <item x="444"/>
        <item x="508"/>
        <item x="452"/>
        <item x="326"/>
        <item x="384"/>
        <item x="369"/>
        <item x="252"/>
        <item x="371"/>
        <item x="424"/>
        <item x="403"/>
        <item x="74"/>
        <item x="333"/>
        <item x="66"/>
        <item x="39"/>
        <item x="488"/>
        <item x="212"/>
        <item x="78"/>
        <item x="219"/>
        <item x="327"/>
        <item x="228"/>
        <item x="510"/>
        <item x="129"/>
        <item x="489"/>
        <item x="175"/>
        <item x="99"/>
        <item x="127"/>
        <item x="123"/>
        <item x="251"/>
        <item x="457"/>
        <item x="233"/>
        <item x="265"/>
        <item x="28"/>
        <item x="76"/>
        <item x="32"/>
        <item x="363"/>
        <item x="348"/>
        <item x="237"/>
        <item x="258"/>
        <item x="103"/>
        <item x="15"/>
        <item x="94"/>
        <item x="176"/>
        <item x="423"/>
        <item x="231"/>
        <item x="277"/>
        <item x="328"/>
        <item x="100"/>
        <item x="240"/>
        <item x="196"/>
        <item x="339"/>
        <item x="75"/>
        <item x="491"/>
        <item x="125"/>
        <item x="376"/>
        <item x="23"/>
        <item x="421"/>
        <item x="232"/>
        <item x="359"/>
        <item x="225"/>
        <item x="200"/>
        <item x="264"/>
        <item x="379"/>
        <item x="418"/>
        <item x="476"/>
        <item x="500"/>
        <item x="391"/>
        <item x="494"/>
        <item x="378"/>
        <item x="61"/>
        <item x="365"/>
        <item x="223"/>
        <item x="320"/>
        <item x="345"/>
        <item x="107"/>
        <item x="30"/>
        <item x="335"/>
        <item x="193"/>
        <item x="73"/>
        <item x="159"/>
        <item x="435"/>
        <item x="177"/>
        <item x="356"/>
        <item x="272"/>
        <item x="194"/>
        <item x="329"/>
        <item x="113"/>
        <item x="470"/>
        <item x="501"/>
        <item x="307"/>
        <item x="70"/>
        <item x="155"/>
        <item x="217"/>
        <item x="178"/>
        <item x="469"/>
        <item x="6"/>
        <item x="135"/>
        <item x="304"/>
        <item x="308"/>
        <item x="106"/>
        <item x="495"/>
        <item x="344"/>
        <item x="428"/>
        <item x="269"/>
        <item x="334"/>
        <item x="140"/>
        <item x="18"/>
        <item x="4"/>
        <item x="370"/>
        <item x="158"/>
        <item x="409"/>
        <item x="222"/>
        <item x="77"/>
        <item x="162"/>
        <item x="332"/>
        <item x="408"/>
        <item x="301"/>
        <item x="51"/>
        <item x="341"/>
        <item x="90"/>
        <item x="59"/>
        <item x="446"/>
        <item x="322"/>
        <item x="459"/>
        <item x="183"/>
        <item x="134"/>
        <item x="392"/>
        <item x="33"/>
        <item x="247"/>
        <item x="317"/>
        <item x="305"/>
        <item x="388"/>
        <item x="429"/>
        <item x="208"/>
        <item x="185"/>
        <item x="349"/>
        <item x="42"/>
        <item x="253"/>
        <item x="271"/>
        <item x="273"/>
        <item x="270"/>
        <item x="343"/>
        <item x="81"/>
        <item x="25"/>
        <item x="214"/>
        <item x="331"/>
        <item x="399"/>
        <item x="362"/>
        <item x="263"/>
        <item x="234"/>
        <item x="340"/>
        <item x="47"/>
        <item x="21"/>
        <item x="480"/>
        <item x="141"/>
        <item x="514"/>
        <item x="506"/>
        <item x="493"/>
        <item x="504"/>
        <item x="12"/>
        <item x="8"/>
        <item x="197"/>
        <item x="454"/>
        <item x="204"/>
        <item x="274"/>
        <item x="275"/>
        <item x="147"/>
        <item x="48"/>
        <item x="257"/>
        <item x="62"/>
        <item x="478"/>
        <item x="82"/>
        <item x="91"/>
        <item x="287"/>
        <item x="186"/>
        <item x="53"/>
        <item x="209"/>
        <item x="173"/>
        <item x="191"/>
        <item x="298"/>
        <item x="467"/>
        <item x="88"/>
        <item x="256"/>
        <item x="286"/>
        <item x="192"/>
        <item x="198"/>
        <item x="86"/>
        <item x="166"/>
        <item x="2"/>
        <item x="255"/>
        <item x="131"/>
        <item x="350"/>
        <item x="58"/>
        <item x="410"/>
        <item x="450"/>
        <item x="57"/>
        <item x="465"/>
        <item x="182"/>
        <item x="20"/>
        <item x="206"/>
        <item x="114"/>
        <item x="380"/>
        <item x="439"/>
        <item x="80"/>
        <item x="45"/>
        <item x="218"/>
        <item x="89"/>
        <item x="338"/>
        <item x="46"/>
        <item x="413"/>
        <item x="311"/>
        <item x="276"/>
        <item x="71"/>
        <item x="374"/>
        <item x="210"/>
        <item x="479"/>
        <item x="168"/>
        <item x="440"/>
        <item x="294"/>
        <item x="63"/>
        <item x="235"/>
        <item x="386"/>
        <item x="43"/>
        <item x="132"/>
        <item x="202"/>
        <item x="161"/>
        <item x="394"/>
        <item x="31"/>
        <item x="437"/>
        <item x="393"/>
        <item x="169"/>
        <item x="354"/>
        <item x="34"/>
        <item x="17"/>
        <item x="337"/>
        <item x="139"/>
        <item x="477"/>
        <item x="512"/>
        <item x="358"/>
        <item x="460"/>
        <item x="434"/>
        <item x="295"/>
        <item x="282"/>
        <item x="109"/>
        <item x="415"/>
        <item x="238"/>
        <item x="352"/>
        <item x="342"/>
        <item x="427"/>
        <item x="496"/>
        <item x="101"/>
        <item x="26"/>
        <item x="492"/>
        <item x="195"/>
        <item x="499"/>
        <item x="245"/>
        <item x="300"/>
        <item x="145"/>
        <item x="316"/>
        <item x="481"/>
        <item x="397"/>
        <item x="16"/>
        <item x="111"/>
        <item x="160"/>
        <item x="381"/>
        <item x="400"/>
        <item x="87"/>
        <item x="119"/>
        <item x="503"/>
        <item x="5"/>
        <item x="112"/>
        <item x="412"/>
        <item x="472"/>
        <item x="151"/>
        <item x="436"/>
        <item x="29"/>
        <item x="56"/>
        <item x="22"/>
        <item x="351"/>
        <item x="19"/>
        <item x="93"/>
        <item x="207"/>
        <item x="60"/>
        <item x="92"/>
        <item x="41"/>
        <item x="133"/>
        <item x="52"/>
        <item x="373"/>
        <item x="474"/>
        <item x="105"/>
        <item x="150"/>
        <item x="96"/>
        <item x="49"/>
        <item x="486"/>
        <item x="118"/>
        <item x="137"/>
        <item x="449"/>
        <item x="220"/>
        <item x="466"/>
        <item x="122"/>
        <item x="44"/>
        <item x="188"/>
        <item x="291"/>
        <item x="144"/>
        <item x="431"/>
        <item x="138"/>
        <item x="357"/>
        <item x="302"/>
        <item x="154"/>
        <item x="387"/>
        <item x="509"/>
        <item x="171"/>
        <item x="266"/>
        <item x="310"/>
        <item x="65"/>
        <item x="249"/>
        <item x="97"/>
        <item x="98"/>
        <item x="216"/>
        <item x="110"/>
        <item x="487"/>
        <item x="184"/>
        <item x="346"/>
        <item x="430"/>
        <item x="243"/>
        <item x="312"/>
        <item x="284"/>
        <item x="189"/>
        <item x="443"/>
        <item x="462"/>
        <item x="372"/>
        <item x="385"/>
        <item x="406"/>
        <item x="215"/>
        <item x="128"/>
        <item x="152"/>
        <item x="458"/>
        <item x="136"/>
        <item x="405"/>
        <item x="511"/>
        <item x="296"/>
        <item x="401"/>
        <item x="382"/>
        <item x="246"/>
        <item x="261"/>
        <item x="463"/>
        <item x="433"/>
        <item x="360"/>
        <item x="130"/>
        <item x="417"/>
        <item x="126"/>
        <item x="367"/>
        <item x="402"/>
        <item x="85"/>
        <item x="324"/>
        <item x="9"/>
        <item x="319"/>
        <item x="262"/>
        <item x="50"/>
        <item x="37"/>
        <item x="205"/>
        <item x="69"/>
        <item x="447"/>
        <item x="309"/>
        <item x="395"/>
        <item x="297"/>
        <item x="407"/>
        <item x="484"/>
        <item x="498"/>
        <item x="95"/>
        <item x="242"/>
        <item x="40"/>
        <item x="0"/>
        <item x="181"/>
        <item x="432"/>
        <item x="513"/>
        <item x="425"/>
        <item x="227"/>
        <item x="115"/>
        <item x="203"/>
        <item x="464"/>
        <item x="190"/>
        <item x="280"/>
        <item x="281"/>
        <item x="153"/>
        <item x="490"/>
        <item x="156"/>
        <item x="483"/>
        <item x="121"/>
        <item x="279"/>
        <item x="55"/>
        <item x="306"/>
        <item x="170"/>
        <item x="288"/>
        <item x="420"/>
        <item x="79"/>
        <item x="505"/>
        <item x="411"/>
        <item x="254"/>
        <item x="471"/>
        <item x="83"/>
        <item x="68"/>
        <item x="120"/>
        <item x="404"/>
        <item x="442"/>
        <item x="108"/>
        <item x="11"/>
        <item x="64"/>
        <item x="142"/>
        <item x="438"/>
        <item x="179"/>
        <item x="290"/>
        <item x="314"/>
        <item x="149"/>
        <item x="318"/>
        <item x="485"/>
        <item x="303"/>
        <item x="468"/>
        <item x="10"/>
        <item x="355"/>
        <item x="461"/>
        <item x="7"/>
        <item x="268"/>
        <item x="146"/>
        <item x="67"/>
        <item x="187"/>
        <item x="426"/>
        <item x="35"/>
        <item x="315"/>
        <item x="180"/>
        <item x="13"/>
        <item x="224"/>
        <item x="416"/>
        <item x="250"/>
        <item x="116"/>
        <item x="353"/>
        <item x="364"/>
        <item x="422"/>
        <item x="267"/>
        <item x="143"/>
        <item x="1"/>
        <item x="414"/>
        <item x="157"/>
        <item x="24"/>
        <item x="361"/>
        <item x="54"/>
        <item x="330"/>
        <item x="475"/>
        <item x="278"/>
        <item x="448"/>
        <item x="396"/>
        <item x="244"/>
        <item x="241"/>
        <item x="148"/>
        <item x="248"/>
        <item x="383"/>
        <item x="502"/>
        <item x="347"/>
        <item x="313"/>
        <item x="497"/>
        <item x="515"/>
        <item t="default"/>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Sum of Profit" fld="19" baseField="0" baseItem="0" numFmtId="2"/>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2B4E3B-50E9-42E0-ADC7-919A2CDF1192}"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9" firstHeaderRow="1" firstDataRow="1" firstDataCol="1"/>
  <pivotFields count="20">
    <pivotField showAll="0"/>
    <pivotField numFmtId="165" showAll="0">
      <items count="211">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207"/>
        <item x="17"/>
        <item x="75"/>
        <item x="13"/>
        <item x="115"/>
        <item x="21"/>
        <item x="69"/>
        <item x="196"/>
        <item x="178"/>
        <item x="41"/>
        <item x="143"/>
        <item x="167"/>
        <item x="173"/>
        <item x="183"/>
        <item x="131"/>
        <item x="134"/>
        <item x="195"/>
        <item x="74"/>
        <item x="206"/>
        <item x="198"/>
        <item x="30"/>
        <item x="112"/>
        <item x="1"/>
        <item x="26"/>
        <item x="23"/>
        <item x="190"/>
        <item x="188"/>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208"/>
        <item x="40"/>
        <item x="132"/>
        <item x="60"/>
        <item x="44"/>
        <item x="45"/>
        <item x="105"/>
        <item x="38"/>
        <item x="123"/>
        <item x="51"/>
        <item x="200"/>
        <item x="96"/>
        <item x="166"/>
        <item x="34"/>
        <item x="157"/>
        <item x="94"/>
        <item x="202"/>
        <item x="66"/>
        <item x="165"/>
        <item x="53"/>
        <item x="116"/>
        <item x="209"/>
        <item t="default"/>
      </items>
    </pivotField>
    <pivotField axis="axisRow" showAll="0">
      <items count="10">
        <item m="1" x="7"/>
        <item m="1" x="6"/>
        <item m="1" x="5"/>
        <item m="1" x="8"/>
        <item x="0"/>
        <item x="1"/>
        <item x="2"/>
        <item x="3"/>
        <item x="4"/>
        <item t="default"/>
      </items>
    </pivotField>
    <pivotField showAll="0">
      <items count="14">
        <item x="9"/>
        <item x="11"/>
        <item x="10"/>
        <item x="3"/>
        <item x="5"/>
        <item x="1"/>
        <item x="7"/>
        <item x="6"/>
        <item x="8"/>
        <item x="2"/>
        <item x="0"/>
        <item x="4"/>
        <item x="12"/>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numFmtId="2" showAll="0"/>
  </pivotFields>
  <rowFields count="1">
    <field x="2"/>
  </rowFields>
  <rowItems count="6">
    <i>
      <x v="4"/>
    </i>
    <i>
      <x v="5"/>
    </i>
    <i>
      <x v="6"/>
    </i>
    <i>
      <x v="7"/>
    </i>
    <i>
      <x v="8"/>
    </i>
    <i t="grand">
      <x/>
    </i>
  </rowItems>
  <colItems count="1">
    <i/>
  </colItems>
  <dataFields count="1">
    <dataField name="Sum of Sales" fld="16" baseField="0" baseItem="0" numFmtId="2"/>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36EA44-6056-45FB-947C-EAD0E4D87A43}"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3:K6" firstHeaderRow="1" firstDataRow="1" firstDataCol="1"/>
  <pivotFields count="20">
    <pivotField showAll="0"/>
    <pivotField numFmtId="165" showAll="0">
      <items count="211">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207"/>
        <item x="17"/>
        <item x="75"/>
        <item x="13"/>
        <item x="115"/>
        <item x="21"/>
        <item x="69"/>
        <item x="196"/>
        <item x="178"/>
        <item x="41"/>
        <item x="143"/>
        <item x="167"/>
        <item x="173"/>
        <item x="183"/>
        <item x="131"/>
        <item x="134"/>
        <item x="195"/>
        <item x="74"/>
        <item x="206"/>
        <item x="198"/>
        <item x="30"/>
        <item x="112"/>
        <item x="1"/>
        <item x="26"/>
        <item x="23"/>
        <item x="190"/>
        <item x="188"/>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208"/>
        <item x="40"/>
        <item x="132"/>
        <item x="60"/>
        <item x="44"/>
        <item x="45"/>
        <item x="105"/>
        <item x="38"/>
        <item x="123"/>
        <item x="51"/>
        <item x="200"/>
        <item x="96"/>
        <item x="166"/>
        <item x="34"/>
        <item x="157"/>
        <item x="94"/>
        <item x="202"/>
        <item x="66"/>
        <item x="165"/>
        <item x="53"/>
        <item x="116"/>
        <item x="209"/>
        <item t="default"/>
      </items>
    </pivotField>
    <pivotField showAll="0"/>
    <pivotField showAll="0">
      <items count="14">
        <item x="9"/>
        <item x="11"/>
        <item x="10"/>
        <item x="3"/>
        <item x="5"/>
        <item x="1"/>
        <item x="7"/>
        <item x="6"/>
        <item x="8"/>
        <item x="2"/>
        <item x="0"/>
        <item x="4"/>
        <item x="12"/>
        <item t="default"/>
      </items>
    </pivotField>
    <pivotField numFmtId="165"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items count="19">
        <item x="11"/>
        <item x="9"/>
        <item x="6"/>
        <item x="8"/>
        <item x="0"/>
        <item x="1"/>
        <item x="16"/>
        <item x="12"/>
        <item x="13"/>
        <item x="5"/>
        <item x="2"/>
        <item x="15"/>
        <item x="10"/>
        <item x="7"/>
        <item x="4"/>
        <item x="14"/>
        <item x="3"/>
        <item x="17"/>
        <item t="default"/>
      </items>
    </pivotField>
    <pivotField showAll="0"/>
    <pivotField dataField="1" numFmtId="2" showAll="0">
      <items count="501">
        <item x="75"/>
        <item x="255"/>
        <item x="61"/>
        <item x="99"/>
        <item x="271"/>
        <item x="221"/>
        <item x="477"/>
        <item x="123"/>
        <item x="15"/>
        <item x="198"/>
        <item x="367"/>
        <item x="479"/>
        <item x="422"/>
        <item x="194"/>
        <item x="366"/>
        <item x="334"/>
        <item x="30"/>
        <item x="175"/>
        <item x="106"/>
        <item x="133"/>
        <item x="238"/>
        <item x="70"/>
        <item x="111"/>
        <item x="320"/>
        <item x="408"/>
        <item x="443"/>
        <item x="410"/>
        <item x="297"/>
        <item x="319"/>
        <item x="325"/>
        <item x="266"/>
        <item x="229"/>
        <item x="345"/>
        <item x="215"/>
        <item x="94"/>
        <item x="396"/>
        <item x="486"/>
        <item x="456"/>
        <item x="156"/>
        <item x="192"/>
        <item x="51"/>
        <item x="301"/>
        <item x="90"/>
        <item x="153"/>
        <item x="405"/>
        <item x="333"/>
        <item x="32"/>
        <item x="485"/>
        <item x="181"/>
        <item x="6"/>
        <item x="348"/>
        <item x="191"/>
        <item x="261"/>
        <item x="244"/>
        <item x="323"/>
        <item x="462"/>
        <item x="352"/>
        <item x="338"/>
        <item x="480"/>
        <item x="18"/>
        <item x="357"/>
        <item x="138"/>
        <item x="433"/>
        <item x="455"/>
        <item x="354"/>
        <item x="397"/>
        <item x="380"/>
        <item x="28"/>
        <item x="387"/>
        <item x="76"/>
        <item x="294"/>
        <item x="160"/>
        <item x="232"/>
        <item x="139"/>
        <item x="267"/>
        <item x="466"/>
        <item x="132"/>
        <item x="25"/>
        <item x="235"/>
        <item x="489"/>
        <item x="248"/>
        <item x="359"/>
        <item x="416"/>
        <item x="372"/>
        <item x="91"/>
        <item x="62"/>
        <item x="260"/>
        <item x="492"/>
        <item x="190"/>
        <item x="322"/>
        <item x="58"/>
        <item x="2"/>
        <item x="453"/>
        <item x="81"/>
        <item x="475"/>
        <item x="298"/>
        <item x="300"/>
        <item x="398"/>
        <item x="53"/>
        <item x="12"/>
        <item x="33"/>
        <item x="174"/>
        <item x="204"/>
        <item x="312"/>
        <item x="195"/>
        <item x="80"/>
        <item x="339"/>
        <item x="45"/>
        <item x="254"/>
        <item x="326"/>
        <item x="268"/>
        <item x="491"/>
        <item x="281"/>
        <item x="8"/>
        <item x="226"/>
        <item x="71"/>
        <item x="280"/>
        <item x="78"/>
        <item x="21"/>
        <item x="217"/>
        <item x="189"/>
        <item x="86"/>
        <item x="184"/>
        <item x="130"/>
        <item x="88"/>
        <item x="171"/>
        <item x="252"/>
        <item x="343"/>
        <item x="318"/>
        <item x="207"/>
        <item x="167"/>
        <item x="82"/>
        <item x="129"/>
        <item x="196"/>
        <item x="48"/>
        <item x="223"/>
        <item x="421"/>
        <item x="496"/>
        <item x="4"/>
        <item x="474"/>
        <item x="216"/>
        <item x="20"/>
        <item x="347"/>
        <item x="368"/>
        <item x="436"/>
        <item x="208"/>
        <item x="358"/>
        <item x="100"/>
        <item x="112"/>
        <item x="332"/>
        <item x="176"/>
        <item x="270"/>
        <item x="63"/>
        <item x="233"/>
        <item x="293"/>
        <item x="385"/>
        <item x="220"/>
        <item x="77"/>
        <item x="288"/>
        <item x="159"/>
        <item x="105"/>
        <item x="388"/>
        <item x="158"/>
        <item x="438"/>
        <item x="180"/>
        <item x="34"/>
        <item x="458"/>
        <item x="59"/>
        <item x="426"/>
        <item x="117"/>
        <item x="328"/>
        <item x="276"/>
        <item x="414"/>
        <item x="236"/>
        <item x="164"/>
        <item x="56"/>
        <item x="401"/>
        <item x="478"/>
        <item x="93"/>
        <item x="340"/>
        <item x="427"/>
        <item x="200"/>
        <item x="131"/>
        <item x="382"/>
        <item x="376"/>
        <item x="341"/>
        <item x="103"/>
        <item x="262"/>
        <item x="183"/>
        <item x="317"/>
        <item x="484"/>
        <item x="49"/>
        <item x="381"/>
        <item x="369"/>
        <item x="110"/>
        <item x="452"/>
        <item x="362"/>
        <item x="108"/>
        <item x="136"/>
        <item x="309"/>
        <item x="47"/>
        <item x="295"/>
        <item x="498"/>
        <item x="44"/>
        <item x="193"/>
        <item x="481"/>
        <item x="116"/>
        <item x="346"/>
        <item x="241"/>
        <item x="331"/>
        <item x="60"/>
        <item x="5"/>
        <item x="335"/>
        <item x="361"/>
        <item x="374"/>
        <item x="360"/>
        <item x="96"/>
        <item x="488"/>
        <item x="187"/>
        <item x="205"/>
        <item x="170"/>
        <item x="92"/>
        <item x="351"/>
        <item x="250"/>
        <item x="314"/>
        <item x="157"/>
        <item x="494"/>
        <item x="444"/>
        <item x="17"/>
        <item x="389"/>
        <item x="400"/>
        <item x="290"/>
        <item x="263"/>
        <item x="379"/>
        <item x="150"/>
        <item x="423"/>
        <item x="269"/>
        <item x="127"/>
        <item x="22"/>
        <item x="449"/>
        <item x="210"/>
        <item x="430"/>
        <item x="463"/>
        <item x="97"/>
        <item x="135"/>
        <item x="495"/>
        <item x="199"/>
        <item x="120"/>
        <item x="14"/>
        <item x="473"/>
        <item x="404"/>
        <item x="375"/>
        <item x="464"/>
        <item x="418"/>
        <item x="23"/>
        <item x="186"/>
        <item x="329"/>
        <item x="218"/>
        <item x="74"/>
        <item x="89"/>
        <item x="104"/>
        <item x="50"/>
        <item x="373"/>
        <item x="69"/>
        <item x="109"/>
        <item x="134"/>
        <item x="291"/>
        <item x="42"/>
        <item x="440"/>
        <item x="128"/>
        <item x="287"/>
        <item x="65"/>
        <item x="259"/>
        <item x="246"/>
        <item x="152"/>
        <item x="125"/>
        <item x="249"/>
        <item x="137"/>
        <item x="202"/>
        <item x="364"/>
        <item x="31"/>
        <item x="283"/>
        <item x="302"/>
        <item x="330"/>
        <item x="212"/>
        <item x="52"/>
        <item x="26"/>
        <item x="419"/>
        <item x="206"/>
        <item x="448"/>
        <item x="213"/>
        <item x="143"/>
        <item x="467"/>
        <item x="450"/>
        <item x="43"/>
        <item x="451"/>
        <item x="394"/>
        <item x="98"/>
        <item x="95"/>
        <item x="73"/>
        <item x="172"/>
        <item x="304"/>
        <item x="311"/>
        <item x="316"/>
        <item x="102"/>
        <item x="434"/>
        <item x="349"/>
        <item x="469"/>
        <item x="151"/>
        <item x="168"/>
        <item x="37"/>
        <item x="391"/>
        <item x="9"/>
        <item x="119"/>
        <item x="470"/>
        <item x="29"/>
        <item x="483"/>
        <item x="431"/>
        <item x="113"/>
        <item x="378"/>
        <item x="203"/>
        <item x="305"/>
        <item x="392"/>
        <item x="274"/>
        <item x="140"/>
        <item x="166"/>
        <item x="64"/>
        <item x="41"/>
        <item x="179"/>
        <item x="145"/>
        <item x="115"/>
        <item x="148"/>
        <item x="87"/>
        <item x="457"/>
        <item x="224"/>
        <item x="424"/>
        <item x="240"/>
        <item x="68"/>
        <item x="147"/>
        <item x="182"/>
        <item x="237"/>
        <item x="165"/>
        <item x="303"/>
        <item x="383"/>
        <item x="439"/>
        <item x="406"/>
        <item x="468"/>
        <item x="36"/>
        <item x="278"/>
        <item x="417"/>
        <item x="399"/>
        <item x="83"/>
        <item x="149"/>
        <item x="442"/>
        <item x="415"/>
        <item x="79"/>
        <item x="55"/>
        <item x="265"/>
        <item x="493"/>
        <item x="46"/>
        <item x="39"/>
        <item x="66"/>
        <item x="19"/>
        <item x="286"/>
        <item x="197"/>
        <item x="292"/>
        <item x="253"/>
        <item x="446"/>
        <item x="118"/>
        <item x="285"/>
        <item x="84"/>
        <item x="227"/>
        <item x="126"/>
        <item x="101"/>
        <item x="275"/>
        <item x="472"/>
        <item x="420"/>
        <item x="124"/>
        <item x="370"/>
        <item x="411"/>
        <item x="310"/>
        <item x="277"/>
        <item x="441"/>
        <item x="471"/>
        <item x="282"/>
        <item x="230"/>
        <item x="0"/>
        <item x="425"/>
        <item x="162"/>
        <item x="307"/>
        <item x="460"/>
        <item x="428"/>
        <item x="403"/>
        <item x="296"/>
        <item x="313"/>
        <item x="407"/>
        <item x="284"/>
        <item x="85"/>
        <item x="214"/>
        <item x="393"/>
        <item x="413"/>
        <item x="57"/>
        <item x="243"/>
        <item x="258"/>
        <item x="107"/>
        <item x="169"/>
        <item x="445"/>
        <item x="308"/>
        <item x="247"/>
        <item x="40"/>
        <item x="363"/>
        <item x="395"/>
        <item x="144"/>
        <item x="337"/>
        <item x="225"/>
        <item x="173"/>
        <item x="13"/>
        <item x="177"/>
        <item x="234"/>
        <item x="201"/>
        <item x="465"/>
        <item x="209"/>
        <item x="154"/>
        <item x="299"/>
        <item x="355"/>
        <item x="219"/>
        <item x="365"/>
        <item x="344"/>
        <item x="178"/>
        <item x="327"/>
        <item x="459"/>
        <item x="38"/>
        <item x="121"/>
        <item x="122"/>
        <item x="231"/>
        <item x="228"/>
        <item x="222"/>
        <item x="188"/>
        <item x="342"/>
        <item x="251"/>
        <item x="429"/>
        <item x="16"/>
        <item x="142"/>
        <item x="497"/>
        <item x="324"/>
        <item x="447"/>
        <item x="454"/>
        <item x="409"/>
        <item x="264"/>
        <item x="1"/>
        <item x="432"/>
        <item x="315"/>
        <item x="114"/>
        <item x="476"/>
        <item x="72"/>
        <item x="141"/>
        <item x="402"/>
        <item x="185"/>
        <item x="435"/>
        <item x="7"/>
        <item x="11"/>
        <item x="155"/>
        <item x="3"/>
        <item x="321"/>
        <item x="279"/>
        <item x="386"/>
        <item x="412"/>
        <item x="353"/>
        <item x="54"/>
        <item x="273"/>
        <item x="350"/>
        <item x="24"/>
        <item x="289"/>
        <item x="35"/>
        <item x="67"/>
        <item x="272"/>
        <item x="490"/>
        <item x="211"/>
        <item x="384"/>
        <item x="437"/>
        <item x="390"/>
        <item x="356"/>
        <item x="242"/>
        <item x="10"/>
        <item x="163"/>
        <item x="371"/>
        <item x="146"/>
        <item x="239"/>
        <item x="377"/>
        <item x="257"/>
        <item x="461"/>
        <item x="487"/>
        <item x="256"/>
        <item x="27"/>
        <item x="245"/>
        <item x="306"/>
        <item x="336"/>
        <item x="482"/>
        <item x="161"/>
        <item x="499"/>
        <item t="default"/>
      </items>
    </pivotField>
    <pivotField showAll="0"/>
    <pivotField showAll="0"/>
    <pivotField numFmtId="2" showAll="0"/>
  </pivotFields>
  <rowFields count="1">
    <field x="9"/>
  </rowFields>
  <rowItems count="3">
    <i>
      <x/>
    </i>
    <i>
      <x v="1"/>
    </i>
    <i t="grand">
      <x/>
    </i>
  </rowItems>
  <colItems count="1">
    <i/>
  </colItems>
  <dataFields count="1">
    <dataField name="Sum of Sales" fld="16" baseField="0" baseItem="0" numFmtId="2"/>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CEF874-810D-4D72-9625-1D3C9EBC0A5F}"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S3:T24" firstHeaderRow="1" firstDataRow="1" firstDataCol="1"/>
  <pivotFields count="20">
    <pivotField showAll="0"/>
    <pivotField numFmtId="165" showAll="0">
      <items count="211">
        <item x="181"/>
        <item x="72"/>
        <item x="90"/>
        <item x="138"/>
        <item x="164"/>
        <item x="8"/>
        <item x="106"/>
        <item x="159"/>
        <item x="3"/>
        <item x="169"/>
        <item x="136"/>
        <item x="192"/>
        <item x="149"/>
        <item x="93"/>
        <item x="79"/>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57"/>
        <item x="24"/>
        <item x="33"/>
        <item x="152"/>
        <item x="28"/>
        <item x="124"/>
        <item x="71"/>
        <item x="70"/>
        <item x="137"/>
        <item x="153"/>
        <item x="117"/>
        <item x="101"/>
        <item x="135"/>
        <item x="37"/>
        <item x="67"/>
        <item x="14"/>
        <item x="12"/>
        <item x="120"/>
        <item x="2"/>
        <item x="88"/>
        <item x="52"/>
        <item x="89"/>
        <item x="121"/>
        <item x="113"/>
        <item x="50"/>
        <item x="82"/>
        <item x="6"/>
        <item x="27"/>
        <item x="154"/>
        <item x="109"/>
        <item x="155"/>
        <item x="83"/>
        <item x="139"/>
        <item x="100"/>
        <item x="207"/>
        <item x="17"/>
        <item x="75"/>
        <item x="13"/>
        <item x="115"/>
        <item x="21"/>
        <item x="69"/>
        <item x="196"/>
        <item x="178"/>
        <item x="41"/>
        <item x="143"/>
        <item x="167"/>
        <item x="173"/>
        <item x="183"/>
        <item x="131"/>
        <item x="134"/>
        <item x="195"/>
        <item x="74"/>
        <item x="206"/>
        <item x="198"/>
        <item x="30"/>
        <item x="112"/>
        <item x="1"/>
        <item x="26"/>
        <item x="23"/>
        <item x="190"/>
        <item x="188"/>
        <item x="87"/>
        <item x="19"/>
        <item x="197"/>
        <item x="48"/>
        <item x="133"/>
        <item x="142"/>
        <item x="64"/>
        <item x="47"/>
        <item x="162"/>
        <item x="108"/>
        <item x="126"/>
        <item x="42"/>
        <item x="31"/>
        <item x="182"/>
        <item x="150"/>
        <item x="63"/>
        <item x="201"/>
        <item x="147"/>
        <item x="189"/>
        <item x="99"/>
        <item x="54"/>
        <item x="61"/>
        <item x="77"/>
        <item x="0"/>
        <item x="76"/>
        <item x="73"/>
        <item x="85"/>
        <item x="49"/>
        <item x="5"/>
        <item x="16"/>
        <item x="10"/>
        <item x="107"/>
        <item x="25"/>
        <item x="180"/>
        <item x="186"/>
        <item x="122"/>
        <item x="176"/>
        <item x="203"/>
        <item x="205"/>
        <item x="62"/>
        <item x="168"/>
        <item x="144"/>
        <item x="177"/>
        <item x="185"/>
        <item x="104"/>
        <item x="4"/>
        <item x="81"/>
        <item x="39"/>
        <item x="148"/>
        <item x="95"/>
        <item x="110"/>
        <item x="193"/>
        <item x="140"/>
        <item x="114"/>
        <item x="46"/>
        <item x="92"/>
        <item x="160"/>
        <item x="91"/>
        <item x="141"/>
        <item x="11"/>
        <item x="170"/>
        <item x="151"/>
        <item x="18"/>
        <item x="32"/>
        <item x="175"/>
        <item x="118"/>
        <item x="65"/>
        <item x="20"/>
        <item x="145"/>
        <item x="172"/>
        <item x="119"/>
        <item x="161"/>
        <item x="15"/>
        <item x="179"/>
        <item x="208"/>
        <item x="40"/>
        <item x="132"/>
        <item x="60"/>
        <item x="44"/>
        <item x="45"/>
        <item x="105"/>
        <item x="38"/>
        <item x="123"/>
        <item x="51"/>
        <item x="200"/>
        <item x="96"/>
        <item x="166"/>
        <item x="34"/>
        <item x="157"/>
        <item x="94"/>
        <item x="202"/>
        <item x="66"/>
        <item x="165"/>
        <item x="53"/>
        <item x="116"/>
        <item x="209"/>
        <item t="default"/>
      </items>
    </pivotField>
    <pivotField showAll="0"/>
    <pivotField showAll="0">
      <items count="14">
        <item x="9"/>
        <item x="11"/>
        <item x="10"/>
        <item x="3"/>
        <item x="5"/>
        <item x="1"/>
        <item x="7"/>
        <item x="6"/>
        <item x="8"/>
        <item x="2"/>
        <item x="0"/>
        <item x="4"/>
        <item x="12"/>
        <item t="default"/>
      </items>
    </pivotField>
    <pivotField numFmtId="165"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0"/>
        <item x="1"/>
        <item x="2"/>
        <item x="3"/>
        <item t="default"/>
      </items>
    </pivotField>
    <pivotField axis="axisRow" showAll="0">
      <items count="19">
        <item sd="0" x="11"/>
        <item sd="0" x="9"/>
        <item sd="0" x="6"/>
        <item sd="0" x="8"/>
        <item sd="0" x="0"/>
        <item sd="0" x="1"/>
        <item sd="0" x="16"/>
        <item sd="0" x="12"/>
        <item sd="0" x="13"/>
        <item sd="0" x="5"/>
        <item sd="0" x="2"/>
        <item sd="0" x="15"/>
        <item sd="0" x="10"/>
        <item sd="0" x="7"/>
        <item sd="0" x="4"/>
        <item sd="0" x="14"/>
        <item sd="0" x="3"/>
        <item sd="0" x="17"/>
        <item t="default" sd="0"/>
      </items>
    </pivotField>
    <pivotField axis="axisRow" showAll="0">
      <items count="462">
        <item x="315"/>
        <item x="36"/>
        <item x="77"/>
        <item x="348"/>
        <item x="341"/>
        <item x="403"/>
        <item x="180"/>
        <item x="396"/>
        <item x="74"/>
        <item x="93"/>
        <item x="294"/>
        <item x="234"/>
        <item x="165"/>
        <item x="405"/>
        <item x="312"/>
        <item x="31"/>
        <item x="61"/>
        <item x="22"/>
        <item x="350"/>
        <item x="167"/>
        <item x="317"/>
        <item x="160"/>
        <item x="224"/>
        <item x="250"/>
        <item x="243"/>
        <item x="201"/>
        <item x="42"/>
        <item x="52"/>
        <item x="194"/>
        <item x="452"/>
        <item x="260"/>
        <item x="333"/>
        <item x="424"/>
        <item x="386"/>
        <item x="368"/>
        <item x="247"/>
        <item x="343"/>
        <item x="126"/>
        <item x="140"/>
        <item x="427"/>
        <item x="57"/>
        <item x="116"/>
        <item x="285"/>
        <item x="299"/>
        <item x="53"/>
        <item x="171"/>
        <item x="37"/>
        <item x="177"/>
        <item x="149"/>
        <item x="49"/>
        <item x="252"/>
        <item x="197"/>
        <item x="283"/>
        <item x="164"/>
        <item x="85"/>
        <item x="261"/>
        <item x="148"/>
        <item x="391"/>
        <item x="319"/>
        <item x="68"/>
        <item x="109"/>
        <item x="122"/>
        <item x="78"/>
        <item x="98"/>
        <item x="355"/>
        <item x="304"/>
        <item x="96"/>
        <item x="174"/>
        <item x="273"/>
        <item x="27"/>
        <item x="102"/>
        <item x="240"/>
        <item x="433"/>
        <item x="230"/>
        <item x="142"/>
        <item x="318"/>
        <item x="9"/>
        <item x="398"/>
        <item x="382"/>
        <item x="208"/>
        <item x="121"/>
        <item x="255"/>
        <item x="358"/>
        <item x="366"/>
        <item x="153"/>
        <item x="310"/>
        <item x="181"/>
        <item x="182"/>
        <item x="254"/>
        <item x="395"/>
        <item x="278"/>
        <item x="30"/>
        <item x="287"/>
        <item x="187"/>
        <item x="274"/>
        <item x="188"/>
        <item x="3"/>
        <item x="214"/>
        <item x="365"/>
        <item x="406"/>
        <item x="213"/>
        <item x="410"/>
        <item x="0"/>
        <item x="263"/>
        <item x="383"/>
        <item x="451"/>
        <item x="289"/>
        <item x="345"/>
        <item x="411"/>
        <item x="455"/>
        <item x="10"/>
        <item x="199"/>
        <item x="237"/>
        <item x="19"/>
        <item x="419"/>
        <item x="435"/>
        <item x="280"/>
        <item x="48"/>
        <item x="431"/>
        <item x="374"/>
        <item x="117"/>
        <item x="352"/>
        <item x="135"/>
        <item x="372"/>
        <item x="342"/>
        <item x="183"/>
        <item x="416"/>
        <item x="101"/>
        <item x="437"/>
        <item x="284"/>
        <item x="399"/>
        <item x="377"/>
        <item x="316"/>
        <item x="288"/>
        <item x="8"/>
        <item x="412"/>
        <item x="73"/>
        <item x="222"/>
        <item x="190"/>
        <item x="41"/>
        <item x="125"/>
        <item x="266"/>
        <item x="76"/>
        <item x="282"/>
        <item x="5"/>
        <item x="4"/>
        <item x="388"/>
        <item x="86"/>
        <item x="251"/>
        <item x="322"/>
        <item x="275"/>
        <item x="35"/>
        <item x="376"/>
        <item x="235"/>
        <item x="189"/>
        <item x="204"/>
        <item x="447"/>
        <item x="279"/>
        <item x="394"/>
        <item x="387"/>
        <item x="95"/>
        <item x="430"/>
        <item x="13"/>
        <item x="446"/>
        <item x="228"/>
        <item x="409"/>
        <item x="421"/>
        <item x="17"/>
        <item x="326"/>
        <item x="295"/>
        <item x="133"/>
        <item x="92"/>
        <item x="272"/>
        <item x="277"/>
        <item x="115"/>
        <item x="313"/>
        <item x="212"/>
        <item x="298"/>
        <item x="141"/>
        <item x="378"/>
        <item x="439"/>
        <item x="334"/>
        <item x="258"/>
        <item x="375"/>
        <item x="132"/>
        <item x="34"/>
        <item x="392"/>
        <item x="459"/>
        <item x="120"/>
        <item x="265"/>
        <item x="23"/>
        <item x="385"/>
        <item x="320"/>
        <item x="38"/>
        <item x="401"/>
        <item x="226"/>
        <item x="51"/>
        <item x="210"/>
        <item x="211"/>
        <item x="124"/>
        <item x="440"/>
        <item x="64"/>
        <item x="162"/>
        <item x="118"/>
        <item x="195"/>
        <item x="45"/>
        <item x="453"/>
        <item x="303"/>
        <item x="70"/>
        <item x="332"/>
        <item x="14"/>
        <item x="54"/>
        <item x="296"/>
        <item x="281"/>
        <item x="402"/>
        <item x="306"/>
        <item x="1"/>
        <item x="373"/>
        <item x="338"/>
        <item x="114"/>
        <item x="225"/>
        <item x="264"/>
        <item x="28"/>
        <item x="436"/>
        <item x="173"/>
        <item x="65"/>
        <item x="108"/>
        <item x="178"/>
        <item x="267"/>
        <item x="300"/>
        <item x="91"/>
        <item x="131"/>
        <item x="426"/>
        <item x="458"/>
        <item x="46"/>
        <item x="25"/>
        <item x="170"/>
        <item x="422"/>
        <item x="381"/>
        <item x="143"/>
        <item x="159"/>
        <item x="81"/>
        <item x="163"/>
        <item x="158"/>
        <item x="370"/>
        <item x="221"/>
        <item x="119"/>
        <item x="11"/>
        <item x="151"/>
        <item x="380"/>
        <item x="340"/>
        <item x="154"/>
        <item x="47"/>
        <item x="244"/>
        <item x="423"/>
        <item x="404"/>
        <item x="100"/>
        <item x="429"/>
        <item x="339"/>
        <item x="231"/>
        <item x="262"/>
        <item x="292"/>
        <item x="106"/>
        <item x="84"/>
        <item x="216"/>
        <item x="50"/>
        <item x="32"/>
        <item x="63"/>
        <item x="219"/>
        <item x="107"/>
        <item x="196"/>
        <item x="400"/>
        <item x="103"/>
        <item x="256"/>
        <item x="329"/>
        <item x="238"/>
        <item x="7"/>
        <item x="457"/>
        <item x="327"/>
        <item x="290"/>
        <item x="66"/>
        <item x="147"/>
        <item x="308"/>
        <item x="450"/>
        <item x="21"/>
        <item x="6"/>
        <item x="328"/>
        <item x="449"/>
        <item x="248"/>
        <item x="321"/>
        <item x="18"/>
        <item x="397"/>
        <item x="134"/>
        <item x="444"/>
        <item x="393"/>
        <item x="276"/>
        <item x="105"/>
        <item x="172"/>
        <item x="191"/>
        <item x="344"/>
        <item x="363"/>
        <item x="83"/>
        <item x="56"/>
        <item x="331"/>
        <item x="390"/>
        <item x="291"/>
        <item x="307"/>
        <item x="202"/>
        <item x="110"/>
        <item x="198"/>
        <item x="362"/>
        <item x="425"/>
        <item x="166"/>
        <item x="193"/>
        <item x="40"/>
        <item x="445"/>
        <item x="176"/>
        <item x="324"/>
        <item x="139"/>
        <item x="39"/>
        <item x="58"/>
        <item x="407"/>
        <item x="29"/>
        <item x="249"/>
        <item x="420"/>
        <item x="59"/>
        <item x="259"/>
        <item x="408"/>
        <item x="79"/>
        <item x="184"/>
        <item x="246"/>
        <item x="220"/>
        <item x="239"/>
        <item x="417"/>
        <item x="242"/>
        <item x="111"/>
        <item x="245"/>
        <item x="26"/>
        <item x="209"/>
        <item x="443"/>
        <item x="253"/>
        <item x="297"/>
        <item x="232"/>
        <item x="156"/>
        <item x="413"/>
        <item x="241"/>
        <item x="233"/>
        <item x="82"/>
        <item x="72"/>
        <item x="223"/>
        <item x="415"/>
        <item x="448"/>
        <item x="175"/>
        <item x="97"/>
        <item x="130"/>
        <item x="168"/>
        <item x="157"/>
        <item x="207"/>
        <item x="137"/>
        <item x="314"/>
        <item x="414"/>
        <item x="2"/>
        <item x="360"/>
        <item x="90"/>
        <item x="138"/>
        <item x="356"/>
        <item x="75"/>
        <item x="67"/>
        <item x="337"/>
        <item x="353"/>
        <item x="200"/>
        <item x="432"/>
        <item x="80"/>
        <item x="144"/>
        <item x="186"/>
        <item x="335"/>
        <item x="155"/>
        <item x="104"/>
        <item x="428"/>
        <item x="309"/>
        <item x="336"/>
        <item x="206"/>
        <item x="33"/>
        <item x="302"/>
        <item x="15"/>
        <item x="441"/>
        <item x="434"/>
        <item x="16"/>
        <item x="351"/>
        <item x="205"/>
        <item x="69"/>
        <item x="293"/>
        <item x="215"/>
        <item x="169"/>
        <item x="146"/>
        <item x="71"/>
        <item x="192"/>
        <item x="454"/>
        <item x="270"/>
        <item x="123"/>
        <item x="94"/>
        <item x="305"/>
        <item x="347"/>
        <item x="87"/>
        <item x="113"/>
        <item x="229"/>
        <item x="99"/>
        <item x="43"/>
        <item x="60"/>
        <item x="268"/>
        <item x="438"/>
        <item x="371"/>
        <item x="203"/>
        <item x="442"/>
        <item x="369"/>
        <item x="323"/>
        <item x="24"/>
        <item x="346"/>
        <item x="301"/>
        <item x="20"/>
        <item x="152"/>
        <item x="44"/>
        <item x="357"/>
        <item x="185"/>
        <item x="227"/>
        <item x="359"/>
        <item x="379"/>
        <item x="129"/>
        <item x="311"/>
        <item x="145"/>
        <item x="384"/>
        <item x="361"/>
        <item x="364"/>
        <item x="136"/>
        <item x="418"/>
        <item x="161"/>
        <item x="127"/>
        <item x="150"/>
        <item x="112"/>
        <item x="325"/>
        <item x="271"/>
        <item x="62"/>
        <item x="128"/>
        <item x="218"/>
        <item x="349"/>
        <item x="330"/>
        <item x="12"/>
        <item x="354"/>
        <item x="367"/>
        <item x="88"/>
        <item x="89"/>
        <item x="179"/>
        <item x="286"/>
        <item x="257"/>
        <item x="269"/>
        <item x="55"/>
        <item x="217"/>
        <item x="389"/>
        <item x="236"/>
        <item x="456"/>
        <item x="460"/>
        <item t="default"/>
      </items>
    </pivotField>
    <pivotField numFmtId="2" showAll="0"/>
    <pivotField showAll="0"/>
    <pivotField showAll="0"/>
    <pivotField dataField="1" numFmtId="2" showAll="0"/>
  </pivotFields>
  <rowFields count="3">
    <field x="9"/>
    <field x="14"/>
    <field x="15"/>
  </rowFields>
  <rowItems count="21">
    <i>
      <x/>
    </i>
    <i r="1">
      <x/>
    </i>
    <i r="1">
      <x v="1"/>
    </i>
    <i r="1">
      <x v="2"/>
    </i>
    <i r="1">
      <x v="3"/>
    </i>
    <i r="1">
      <x v="4"/>
    </i>
    <i r="1">
      <x v="5"/>
    </i>
    <i r="1">
      <x v="6"/>
    </i>
    <i r="1">
      <x v="7"/>
    </i>
    <i r="1">
      <x v="8"/>
    </i>
    <i r="1">
      <x v="9"/>
    </i>
    <i r="1">
      <x v="10"/>
    </i>
    <i r="1">
      <x v="11"/>
    </i>
    <i r="1">
      <x v="12"/>
    </i>
    <i r="1">
      <x v="13"/>
    </i>
    <i r="1">
      <x v="14"/>
    </i>
    <i r="1">
      <x v="15"/>
    </i>
    <i r="1">
      <x v="16"/>
    </i>
    <i>
      <x v="1"/>
    </i>
    <i r="1">
      <x v="17"/>
    </i>
    <i t="grand">
      <x/>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A573789-57CA-4C17-B97D-6CEC8547707E}" sourceName="Month">
  <pivotTables>
    <pivotTable tabId="2" name="PivotTable4"/>
  </pivotTables>
  <data>
    <tabular pivotCacheId="966163539">
      <items count="13">
        <i x="9" s="1"/>
        <i x="11" s="1"/>
        <i x="10" s="1"/>
        <i x="3" s="1"/>
        <i x="5" s="1"/>
        <i x="1" s="1"/>
        <i x="7" s="1"/>
        <i x="6" s="1"/>
        <i x="8" s="1"/>
        <i x="2" s="1"/>
        <i x="0" s="1"/>
        <i x="4"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B6E8F52-E9BA-4275-86A5-1DEAD799F135}" sourceName="Sub-Category">
  <pivotTables>
    <pivotTable tabId="2" name="PivotTable1"/>
  </pivotTables>
  <data>
    <tabular pivotCacheId="966163539">
      <items count="18">
        <i x="11" s="1"/>
        <i x="9" s="1"/>
        <i x="6" s="1"/>
        <i x="8" s="1"/>
        <i x="0" s="1"/>
        <i x="1" s="1"/>
        <i x="16" s="1"/>
        <i x="12" s="1"/>
        <i x="13" s="1"/>
        <i x="5" s="1"/>
        <i x="2" s="1"/>
        <i x="15" s="1"/>
        <i x="10" s="1"/>
        <i x="7" s="1"/>
        <i x="4" s="1"/>
        <i x="14" s="1"/>
        <i x="3" s="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C47555C-6CFE-4321-8680-F172023F9722}" cache="Slicer_Month" caption="Month" rowHeight="251883"/>
  <slicer name="Sub-Category" xr10:uid="{4A3DBAAF-724D-4B65-8AF2-243BE481F063}" cache="Slicer_Sub_Category" caption="Sub-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3FBB6FF-ACF9-47D4-BC99-4F1C1543032F}" cache="Slicer_Month" caption="Mon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9489DD-213D-4288-80EE-ED58299F4F27}" name="Table1" displayName="Table1" ref="A1:V529" totalsRowShown="0" headerRowDxfId="22">
  <autoFilter ref="A1:V529" xr:uid="{419489DD-213D-4288-80EE-ED58299F4F27}"/>
  <tableColumns count="22">
    <tableColumn id="1" xr3:uid="{A7513C2B-C753-4133-B452-69BDD5262BB8}" name="Row ID" dataDxfId="21"/>
    <tableColumn id="2" xr3:uid="{01788C42-1A7D-419D-8ECA-D4B2B6D70EA3}" name="Order Date" dataDxfId="20"/>
    <tableColumn id="3" xr3:uid="{86B4047F-24DB-4231-8ABD-F67BB6452DB4}" name="Year" dataDxfId="19"/>
    <tableColumn id="4" xr3:uid="{4DCF46C4-400E-4C03-95F4-DA468BEB3FC8}" name="Month" dataDxfId="18"/>
    <tableColumn id="5" xr3:uid="{3F3CFB78-FF07-4440-BFA8-60CBC4122B3E}" name="Ship Date" dataDxfId="17"/>
    <tableColumn id="6" xr3:uid="{5E9CA89F-4F85-4BCE-9C83-26A6D0262478}" name="Delivery Time" dataDxfId="16">
      <calculatedColumnFormula>_xlfn.DAYS(E2,B2)</calculatedColumnFormula>
    </tableColumn>
    <tableColumn id="7" xr3:uid="{2C902563-42BF-47B1-A389-AE1AD3A36E71}" name="Ship Mode" dataDxfId="15"/>
    <tableColumn id="8" xr3:uid="{B16C4F6D-B8DB-4B7C-9C32-32F1F7D4C5E3}" name="Customer Name" dataDxfId="14"/>
    <tableColumn id="9" xr3:uid="{697E714D-B124-4509-B2E7-C2A1F77BE4AF}" name="Segment" dataDxfId="13"/>
    <tableColumn id="10" xr3:uid="{078254D6-5A50-460F-846B-1A3EF75227BB}" name="Country" dataDxfId="12"/>
    <tableColumn id="11" xr3:uid="{9550DBD6-87A6-4F9B-82E4-6E0574165173}" name="City" dataDxfId="11"/>
    <tableColumn id="12" xr3:uid="{239F4FBC-6322-491F-9164-05EE59781185}" name="State" dataDxfId="10"/>
    <tableColumn id="13" xr3:uid="{CF379AF6-2C2C-4E98-91FB-3FF8BA7FD1C9}" name="Region" dataDxfId="9"/>
    <tableColumn id="14" xr3:uid="{02EE3CEE-23BD-41EA-8981-08DE714C38EF}" name="Category" dataDxfId="8"/>
    <tableColumn id="15" xr3:uid="{1433DC1B-73C1-4E1B-B6AE-36A3F4321CA4}" name="Sub-Category" dataDxfId="7"/>
    <tableColumn id="16" xr3:uid="{4C8640C5-C301-419C-BBE2-53786F64B39D}" name="Product Name" dataDxfId="6"/>
    <tableColumn id="17" xr3:uid="{8FA60390-618A-4757-B586-819926FA72D6}" name="Sales" dataDxfId="5"/>
    <tableColumn id="18" xr3:uid="{146A9822-34FB-498A-A061-C7368DB624ED}" name="Quantity" dataDxfId="4"/>
    <tableColumn id="19" xr3:uid="{A769B228-EFA3-4D46-BCE8-2D346DD995A6}" name="Discount" dataDxfId="3"/>
    <tableColumn id="20" xr3:uid="{98CC9DAB-4A4C-4BA8-B13F-2AEE40C31F7E}" name="Profit" dataDxfId="2"/>
    <tableColumn id="21" xr3:uid="{1B18C989-2D37-4F10-8838-AD01ACB720C6}" name="IF" dataDxfId="1">
      <calculatedColumnFormula>IF(T2&gt;0,"Profit","Loss")</calculatedColumnFormula>
    </tableColumn>
    <tableColumn id="22" xr3:uid="{92EF0B8E-D509-4AC3-B569-2858449C4761}" name="Nested" dataDxfId="0">
      <calculatedColumnFormula>IF(Q2&gt;=1000,"High",IF(Q2&gt;=500,"Medium","Low"))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486A-D263-4E87-BDA3-DE1B92E5D0CC}">
  <dimension ref="A1:AP64"/>
  <sheetViews>
    <sheetView showGridLines="0" showRowColHeaders="0" zoomScale="47" zoomScaleNormal="25" workbookViewId="0">
      <selection activeCell="AM31" sqref="AM31"/>
    </sheetView>
  </sheetViews>
  <sheetFormatPr defaultRowHeight="14.5" x14ac:dyDescent="0.35"/>
  <sheetData>
    <row r="1" spans="1:42" x14ac:dyDescent="0.3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row>
    <row r="2" spans="1:42" x14ac:dyDescent="0.35">
      <c r="A2" s="32"/>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row>
    <row r="3" spans="1:42" x14ac:dyDescent="0.35">
      <c r="A3" s="32"/>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row>
    <row r="4" spans="1:42" x14ac:dyDescent="0.35">
      <c r="A4" s="32"/>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row>
    <row r="5" spans="1:42" x14ac:dyDescent="0.35">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row>
    <row r="6" spans="1:42" x14ac:dyDescent="0.35">
      <c r="A6" s="32"/>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row>
    <row r="7" spans="1:42" x14ac:dyDescent="0.35">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row>
    <row r="8" spans="1:42" x14ac:dyDescent="0.35">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row>
    <row r="9" spans="1:42" x14ac:dyDescent="0.35">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row>
    <row r="10" spans="1:42" x14ac:dyDescent="0.35">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row>
    <row r="11" spans="1:42" x14ac:dyDescent="0.3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row>
    <row r="12" spans="1:42" x14ac:dyDescent="0.35">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row>
    <row r="13" spans="1:42" x14ac:dyDescent="0.35">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row>
    <row r="14" spans="1:42" x14ac:dyDescent="0.35">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row>
    <row r="15" spans="1:42" x14ac:dyDescent="0.3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row>
    <row r="16" spans="1:42" x14ac:dyDescent="0.35">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row>
    <row r="17" spans="1:42" x14ac:dyDescent="0.35">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row>
    <row r="18" spans="1:42" x14ac:dyDescent="0.35">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row>
    <row r="19" spans="1:42" x14ac:dyDescent="0.3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row>
    <row r="20" spans="1:42" x14ac:dyDescent="0.35">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row>
    <row r="21" spans="1:42" x14ac:dyDescent="0.35">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row>
    <row r="22" spans="1:42" x14ac:dyDescent="0.35">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row>
    <row r="23" spans="1:42" x14ac:dyDescent="0.35">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row>
    <row r="24" spans="1:42" x14ac:dyDescent="0.35">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row>
    <row r="25" spans="1:42" x14ac:dyDescent="0.3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row>
    <row r="26" spans="1:42" x14ac:dyDescent="0.35">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row>
    <row r="27" spans="1:42" x14ac:dyDescent="0.35">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row>
    <row r="28" spans="1:42" x14ac:dyDescent="0.35">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row>
    <row r="29" spans="1:42" x14ac:dyDescent="0.35">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row>
    <row r="30" spans="1:42" x14ac:dyDescent="0.35">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row>
    <row r="31" spans="1:42" x14ac:dyDescent="0.35">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row>
    <row r="32" spans="1:42" x14ac:dyDescent="0.35">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row>
    <row r="33" spans="1:42" x14ac:dyDescent="0.35">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row>
    <row r="34" spans="1:42" x14ac:dyDescent="0.35">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row>
    <row r="35" spans="1:42" x14ac:dyDescent="0.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row>
    <row r="36" spans="1:42" x14ac:dyDescent="0.35">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row>
    <row r="37" spans="1:42" x14ac:dyDescent="0.35">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row>
    <row r="38" spans="1:42" x14ac:dyDescent="0.35">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row>
    <row r="39" spans="1:42" x14ac:dyDescent="0.35">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row>
    <row r="40" spans="1:42" x14ac:dyDescent="0.35">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row>
    <row r="41" spans="1:42" x14ac:dyDescent="0.35">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row>
    <row r="42" spans="1:42" x14ac:dyDescent="0.35">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row>
    <row r="43" spans="1:42" x14ac:dyDescent="0.35">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row>
    <row r="44" spans="1:42" x14ac:dyDescent="0.35">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row>
    <row r="45" spans="1:42" x14ac:dyDescent="0.3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row>
    <row r="46" spans="1:42" x14ac:dyDescent="0.35">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row>
    <row r="47" spans="1:42" x14ac:dyDescent="0.35">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row>
    <row r="48" spans="1:42" x14ac:dyDescent="0.35">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row>
    <row r="49" spans="1:42" x14ac:dyDescent="0.35">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row>
    <row r="50" spans="1:42" x14ac:dyDescent="0.3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row>
    <row r="51" spans="1:42" x14ac:dyDescent="0.3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row>
    <row r="52" spans="1:42" x14ac:dyDescent="0.3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row>
    <row r="53" spans="1:42" x14ac:dyDescent="0.3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row>
    <row r="54" spans="1:42" x14ac:dyDescent="0.3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row>
    <row r="55" spans="1:42" x14ac:dyDescent="0.3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row>
    <row r="56" spans="1:42" x14ac:dyDescent="0.35">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row>
    <row r="57" spans="1:42" x14ac:dyDescent="0.35">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row>
    <row r="58" spans="1:42" x14ac:dyDescent="0.35">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row>
    <row r="59" spans="1:42" x14ac:dyDescent="0.35">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row>
    <row r="60" spans="1:42" x14ac:dyDescent="0.35">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row>
    <row r="61" spans="1:42" x14ac:dyDescent="0.35">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row>
    <row r="62" spans="1:42" x14ac:dyDescent="0.35">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row>
    <row r="63" spans="1:42" x14ac:dyDescent="0.35">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row>
    <row r="64" spans="1:42" x14ac:dyDescent="0.35">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97C6-9E5D-4F87-8384-C11ED278AB3D}">
  <dimension ref="G1:N23"/>
  <sheetViews>
    <sheetView workbookViewId="0">
      <selection activeCell="Q22" sqref="Q22"/>
    </sheetView>
  </sheetViews>
  <sheetFormatPr defaultRowHeight="14.5" x14ac:dyDescent="0.35"/>
  <sheetData>
    <row r="1" spans="7:14" ht="21" x14ac:dyDescent="0.5">
      <c r="G1" s="39" t="s">
        <v>928</v>
      </c>
      <c r="H1" s="39"/>
      <c r="I1" s="39"/>
      <c r="J1" s="39"/>
      <c r="K1" s="39"/>
      <c r="L1" s="39"/>
      <c r="M1" s="39"/>
    </row>
    <row r="4" spans="7:14" x14ac:dyDescent="0.35">
      <c r="H4" s="40" t="s">
        <v>929</v>
      </c>
      <c r="I4" s="40"/>
    </row>
    <row r="5" spans="7:14" x14ac:dyDescent="0.35">
      <c r="H5" s="35"/>
    </row>
    <row r="6" spans="7:14" x14ac:dyDescent="0.35">
      <c r="H6" s="38" t="s">
        <v>930</v>
      </c>
      <c r="I6" s="38"/>
      <c r="J6" s="38"/>
      <c r="K6" s="38"/>
    </row>
    <row r="7" spans="7:14" x14ac:dyDescent="0.35">
      <c r="H7" s="35"/>
    </row>
    <row r="8" spans="7:14" x14ac:dyDescent="0.35">
      <c r="H8" s="38" t="s">
        <v>931</v>
      </c>
      <c r="I8" s="38"/>
      <c r="J8" s="38"/>
      <c r="K8" s="38"/>
      <c r="L8" s="38"/>
    </row>
    <row r="9" spans="7:14" x14ac:dyDescent="0.35">
      <c r="H9" s="35"/>
    </row>
    <row r="10" spans="7:14" x14ac:dyDescent="0.35">
      <c r="H10" s="38" t="s">
        <v>932</v>
      </c>
      <c r="I10" s="38"/>
      <c r="J10" s="38"/>
      <c r="K10" s="38"/>
      <c r="L10" s="38"/>
      <c r="M10" s="38"/>
      <c r="N10" s="38"/>
    </row>
    <row r="11" spans="7:14" x14ac:dyDescent="0.35">
      <c r="H11" s="35"/>
    </row>
    <row r="12" spans="7:14" x14ac:dyDescent="0.35">
      <c r="H12" s="36" t="s">
        <v>933</v>
      </c>
      <c r="I12" s="36"/>
      <c r="J12" s="36"/>
      <c r="K12" s="36"/>
      <c r="L12" s="36"/>
      <c r="M12" s="36"/>
      <c r="N12" s="36"/>
    </row>
    <row r="13" spans="7:14" x14ac:dyDescent="0.35">
      <c r="H13" s="35"/>
    </row>
    <row r="14" spans="7:14" x14ac:dyDescent="0.35">
      <c r="H14" s="36" t="s">
        <v>934</v>
      </c>
      <c r="I14" s="36"/>
      <c r="J14" s="36"/>
      <c r="K14" s="36"/>
    </row>
    <row r="15" spans="7:14" x14ac:dyDescent="0.35">
      <c r="H15" s="35"/>
    </row>
    <row r="16" spans="7:14" x14ac:dyDescent="0.35">
      <c r="H16" s="37" t="s">
        <v>935</v>
      </c>
      <c r="I16" s="37"/>
      <c r="J16" s="37"/>
      <c r="K16" s="37"/>
      <c r="L16" s="37"/>
      <c r="M16" s="37"/>
    </row>
    <row r="18" spans="8:12" x14ac:dyDescent="0.35">
      <c r="H18" s="41" t="s">
        <v>936</v>
      </c>
      <c r="I18" s="42"/>
    </row>
    <row r="20" spans="8:12" x14ac:dyDescent="0.35">
      <c r="H20" s="43" t="s">
        <v>937</v>
      </c>
      <c r="I20" s="43"/>
      <c r="J20" s="43"/>
    </row>
    <row r="21" spans="8:12" x14ac:dyDescent="0.35">
      <c r="H21" s="43" t="s">
        <v>938</v>
      </c>
      <c r="I21" s="43"/>
      <c r="J21" s="43"/>
      <c r="K21" s="43"/>
    </row>
    <row r="22" spans="8:12" x14ac:dyDescent="0.35">
      <c r="H22" s="43" t="s">
        <v>939</v>
      </c>
      <c r="I22" s="43"/>
      <c r="J22" s="43"/>
      <c r="K22" s="43"/>
      <c r="L22" s="43"/>
    </row>
    <row r="23" spans="8:12" x14ac:dyDescent="0.35">
      <c r="H23" s="43" t="s">
        <v>940</v>
      </c>
      <c r="I23" s="43"/>
      <c r="J23" s="43"/>
      <c r="K23" s="43"/>
    </row>
  </sheetData>
  <mergeCells count="12">
    <mergeCell ref="H21:K21"/>
    <mergeCell ref="H22:L22"/>
    <mergeCell ref="H23:K23"/>
    <mergeCell ref="H16:M16"/>
    <mergeCell ref="G1:M1"/>
    <mergeCell ref="H20:J20"/>
    <mergeCell ref="H4:I4"/>
    <mergeCell ref="H6:K6"/>
    <mergeCell ref="H8:L8"/>
    <mergeCell ref="H10:N10"/>
    <mergeCell ref="H12:N12"/>
    <mergeCell ref="H14:K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4F5-BFBD-40B4-9D2D-E16B6783C95B}">
  <dimension ref="A1:AC701"/>
  <sheetViews>
    <sheetView topLeftCell="P1" zoomScale="57" zoomScaleNormal="57" workbookViewId="0">
      <selection activeCell="X2" sqref="X2:Y2"/>
    </sheetView>
  </sheetViews>
  <sheetFormatPr defaultColWidth="8.90625" defaultRowHeight="14.5" x14ac:dyDescent="0.35"/>
  <cols>
    <col min="1" max="1" width="10.7265625" style="11" customWidth="1"/>
    <col min="2" max="2" width="15" style="10" customWidth="1"/>
    <col min="3" max="3" width="10.6328125" style="14" customWidth="1"/>
    <col min="4" max="4" width="10.6328125" style="12" customWidth="1"/>
    <col min="5" max="5" width="13.90625" style="10" customWidth="1"/>
    <col min="6" max="6" width="18.36328125" style="11" customWidth="1"/>
    <col min="7" max="7" width="15" style="11" customWidth="1"/>
    <col min="8" max="8" width="22.6328125" style="11" customWidth="1"/>
    <col min="9" max="9" width="12.81640625" style="11" customWidth="1"/>
    <col min="10" max="10" width="12.90625" style="11" customWidth="1"/>
    <col min="11" max="11" width="18.36328125" style="11" customWidth="1"/>
    <col min="12" max="12" width="14.453125" style="11" customWidth="1"/>
    <col min="13" max="13" width="10.90625" style="11" customWidth="1"/>
    <col min="14" max="14" width="14.54296875" style="11" customWidth="1"/>
    <col min="15" max="15" width="18.1796875" style="11" customWidth="1"/>
    <col min="16" max="16" width="75.08984375" style="11" customWidth="1"/>
    <col min="17" max="17" width="9.26953125" style="11" customWidth="1"/>
    <col min="18" max="18" width="12.453125" style="11" customWidth="1"/>
    <col min="19" max="19" width="12.81640625" style="11" customWidth="1"/>
    <col min="20" max="20" width="9.26953125" style="11" customWidth="1"/>
    <col min="21" max="21" width="8.90625" style="1"/>
    <col min="22" max="22" width="10.7265625" style="1" customWidth="1"/>
    <col min="23" max="23" width="32.08984375" style="1" bestFit="1" customWidth="1"/>
    <col min="24" max="24" width="40.54296875" style="1" bestFit="1" customWidth="1"/>
    <col min="25" max="25" width="40.54296875" style="1" customWidth="1"/>
    <col min="26" max="26" width="19.6328125" style="1" customWidth="1"/>
    <col min="27" max="27" width="30.36328125" style="1" bestFit="1" customWidth="1"/>
    <col min="28" max="28" width="15" style="1" bestFit="1" customWidth="1"/>
    <col min="29" max="29" width="9.453125" style="1" bestFit="1" customWidth="1"/>
    <col min="30" max="31" width="8.90625" style="1"/>
    <col min="32" max="32" width="11.6328125" style="1" bestFit="1" customWidth="1"/>
    <col min="33" max="16384" width="8.90625" style="1"/>
  </cols>
  <sheetData>
    <row r="1" spans="1:29" s="2" customFormat="1" x14ac:dyDescent="0.35">
      <c r="A1" s="6" t="s">
        <v>0</v>
      </c>
      <c r="B1" s="7" t="s">
        <v>1</v>
      </c>
      <c r="C1" s="8" t="s">
        <v>2</v>
      </c>
      <c r="D1" s="9" t="s">
        <v>3</v>
      </c>
      <c r="E1" s="10"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2" t="s">
        <v>917</v>
      </c>
      <c r="V1" s="2" t="s">
        <v>918</v>
      </c>
    </row>
    <row r="2" spans="1:29" x14ac:dyDescent="0.35">
      <c r="A2" s="11">
        <v>1</v>
      </c>
      <c r="B2" s="10">
        <v>41587</v>
      </c>
      <c r="C2" s="11">
        <v>2013</v>
      </c>
      <c r="D2" s="12" t="s">
        <v>20</v>
      </c>
      <c r="E2" s="10">
        <v>41590</v>
      </c>
      <c r="F2" s="11">
        <f t="shared" ref="F2:F65" si="0">_xlfn.DAYS(E2,B2)</f>
        <v>3</v>
      </c>
      <c r="G2" s="11" t="s">
        <v>21</v>
      </c>
      <c r="H2" s="11" t="s">
        <v>22</v>
      </c>
      <c r="I2" s="11" t="s">
        <v>23</v>
      </c>
      <c r="J2" s="11" t="s">
        <v>890</v>
      </c>
      <c r="K2" s="11" t="s">
        <v>24</v>
      </c>
      <c r="L2" s="11" t="s">
        <v>25</v>
      </c>
      <c r="M2" s="11" t="s">
        <v>26</v>
      </c>
      <c r="N2" s="11" t="s">
        <v>27</v>
      </c>
      <c r="O2" s="11" t="s">
        <v>28</v>
      </c>
      <c r="P2" s="11" t="s">
        <v>29</v>
      </c>
      <c r="Q2" s="13">
        <v>261.95999999999998</v>
      </c>
      <c r="R2" s="11">
        <v>2</v>
      </c>
      <c r="S2" s="16">
        <v>0</v>
      </c>
      <c r="T2" s="13">
        <v>41.913600000000002</v>
      </c>
      <c r="U2" s="1" t="str">
        <f>IF(T2&gt;0,"Profit","Loss")</f>
        <v>Profit</v>
      </c>
      <c r="V2" s="1" t="str">
        <f>IF(Q2&gt;=1000,"High",IF(Q2&gt;=500,"Medium","Low"))</f>
        <v>Low</v>
      </c>
      <c r="X2" s="20" t="s">
        <v>912</v>
      </c>
      <c r="Y2" s="21"/>
      <c r="Z2"/>
      <c r="AA2" s="24" t="s">
        <v>915</v>
      </c>
      <c r="AB2"/>
      <c r="AC2"/>
    </row>
    <row r="3" spans="1:29" x14ac:dyDescent="0.35">
      <c r="A3" s="11">
        <v>2</v>
      </c>
      <c r="B3" s="10">
        <v>41587</v>
      </c>
      <c r="C3" s="11">
        <v>2013</v>
      </c>
      <c r="D3" s="12" t="s">
        <v>20</v>
      </c>
      <c r="E3" s="10">
        <v>41590</v>
      </c>
      <c r="F3" s="11">
        <f>_xlfn.DAYS(E3,B3)</f>
        <v>3</v>
      </c>
      <c r="G3" s="11" t="s">
        <v>21</v>
      </c>
      <c r="H3" s="11" t="s">
        <v>22</v>
      </c>
      <c r="I3" s="11" t="s">
        <v>23</v>
      </c>
      <c r="J3" s="11" t="s">
        <v>890</v>
      </c>
      <c r="K3" s="11" t="s">
        <v>24</v>
      </c>
      <c r="L3" s="11" t="s">
        <v>25</v>
      </c>
      <c r="M3" s="11" t="s">
        <v>26</v>
      </c>
      <c r="N3" s="11" t="s">
        <v>27</v>
      </c>
      <c r="O3" s="11" t="s">
        <v>30</v>
      </c>
      <c r="P3" s="11" t="s">
        <v>31</v>
      </c>
      <c r="Q3" s="13">
        <v>731.94</v>
      </c>
      <c r="R3" s="11">
        <v>3</v>
      </c>
      <c r="S3" s="16">
        <v>0</v>
      </c>
      <c r="T3" s="13">
        <v>219.58199999999999</v>
      </c>
      <c r="U3" s="1" t="str">
        <f t="shared" ref="U3:U66" si="1">IF(T3&gt;0,"Profit","Loss")</f>
        <v>Profit</v>
      </c>
      <c r="V3" s="1" t="str">
        <f t="shared" ref="V3:V66" si="2">IF(Q3&gt;=1000,"High",IF(Q3&gt;=500,"Medium","Low"))</f>
        <v>Medium</v>
      </c>
      <c r="X3" s="25" t="s">
        <v>913</v>
      </c>
      <c r="Y3" s="25" t="s">
        <v>7</v>
      </c>
      <c r="Z3"/>
      <c r="AA3" s="17">
        <f>SUM(Q2:Q529)</f>
        <v>142349.03210000001</v>
      </c>
      <c r="AB3"/>
      <c r="AC3"/>
    </row>
    <row r="4" spans="1:29" x14ac:dyDescent="0.35">
      <c r="A4" s="11">
        <v>3</v>
      </c>
      <c r="B4" s="10">
        <v>41438</v>
      </c>
      <c r="C4" s="11">
        <v>2013</v>
      </c>
      <c r="D4" s="12" t="s">
        <v>32</v>
      </c>
      <c r="E4" s="10">
        <v>41442</v>
      </c>
      <c r="F4" s="11">
        <f t="shared" si="0"/>
        <v>4</v>
      </c>
      <c r="G4" s="11" t="s">
        <v>21</v>
      </c>
      <c r="H4" s="11" t="s">
        <v>33</v>
      </c>
      <c r="I4" s="11" t="s">
        <v>34</v>
      </c>
      <c r="J4" s="11" t="s">
        <v>890</v>
      </c>
      <c r="K4" s="11" t="s">
        <v>35</v>
      </c>
      <c r="L4" s="11" t="s">
        <v>36</v>
      </c>
      <c r="M4" s="11" t="s">
        <v>37</v>
      </c>
      <c r="N4" s="11" t="s">
        <v>38</v>
      </c>
      <c r="O4" s="11" t="s">
        <v>39</v>
      </c>
      <c r="P4" s="11" t="s">
        <v>40</v>
      </c>
      <c r="Q4" s="13">
        <v>14.62</v>
      </c>
      <c r="R4" s="11">
        <v>2</v>
      </c>
      <c r="S4" s="16">
        <v>0</v>
      </c>
      <c r="T4" s="13">
        <v>6.8714000000000004</v>
      </c>
      <c r="U4" s="1" t="str">
        <f t="shared" si="1"/>
        <v>Profit</v>
      </c>
      <c r="V4" s="1" t="str">
        <f t="shared" si="2"/>
        <v>Low</v>
      </c>
      <c r="X4" s="15">
        <v>488</v>
      </c>
      <c r="Y4" s="15" t="str">
        <f>VLOOKUP($X$4,$A:$T,8,FALSE)</f>
        <v>Sue Ann Reed</v>
      </c>
      <c r="Z4"/>
      <c r="AA4"/>
      <c r="AB4"/>
      <c r="AC4"/>
    </row>
    <row r="5" spans="1:29" x14ac:dyDescent="0.35">
      <c r="A5" s="11">
        <v>4</v>
      </c>
      <c r="B5" s="10">
        <v>41193</v>
      </c>
      <c r="C5" s="11">
        <v>2012</v>
      </c>
      <c r="D5" s="12" t="s">
        <v>41</v>
      </c>
      <c r="E5" s="10">
        <v>41200</v>
      </c>
      <c r="F5" s="11">
        <f t="shared" si="0"/>
        <v>7</v>
      </c>
      <c r="G5" s="11" t="s">
        <v>42</v>
      </c>
      <c r="H5" s="11" t="s">
        <v>43</v>
      </c>
      <c r="I5" s="11" t="s">
        <v>23</v>
      </c>
      <c r="J5" s="11" t="s">
        <v>890</v>
      </c>
      <c r="K5" s="11" t="s">
        <v>44</v>
      </c>
      <c r="L5" s="11" t="s">
        <v>45</v>
      </c>
      <c r="M5" s="11" t="s">
        <v>26</v>
      </c>
      <c r="N5" s="11" t="s">
        <v>27</v>
      </c>
      <c r="O5" s="11" t="s">
        <v>46</v>
      </c>
      <c r="P5" s="11" t="s">
        <v>47</v>
      </c>
      <c r="Q5" s="13">
        <v>957.57749999999999</v>
      </c>
      <c r="R5" s="11">
        <v>5</v>
      </c>
      <c r="S5" s="16">
        <v>0.45</v>
      </c>
      <c r="T5" s="13">
        <v>-383.03100000000001</v>
      </c>
      <c r="U5" s="1" t="str">
        <f t="shared" si="1"/>
        <v>Loss</v>
      </c>
      <c r="V5" s="1" t="str">
        <f t="shared" si="2"/>
        <v>Medium</v>
      </c>
      <c r="AA5" s="11"/>
      <c r="AB5" s="11"/>
    </row>
    <row r="6" spans="1:29" x14ac:dyDescent="0.35">
      <c r="A6" s="11">
        <v>5</v>
      </c>
      <c r="B6" s="10">
        <v>41193</v>
      </c>
      <c r="C6" s="11">
        <v>2012</v>
      </c>
      <c r="D6" s="12" t="s">
        <v>41</v>
      </c>
      <c r="E6" s="10">
        <v>41200</v>
      </c>
      <c r="F6" s="11">
        <f t="shared" si="0"/>
        <v>7</v>
      </c>
      <c r="G6" s="11" t="s">
        <v>42</v>
      </c>
      <c r="H6" s="11" t="s">
        <v>43</v>
      </c>
      <c r="I6" s="11" t="s">
        <v>23</v>
      </c>
      <c r="J6" s="11" t="s">
        <v>890</v>
      </c>
      <c r="K6" s="11" t="s">
        <v>44</v>
      </c>
      <c r="L6" s="11" t="s">
        <v>45</v>
      </c>
      <c r="M6" s="11" t="s">
        <v>26</v>
      </c>
      <c r="N6" s="11" t="s">
        <v>38</v>
      </c>
      <c r="O6" s="11" t="s">
        <v>48</v>
      </c>
      <c r="P6" s="11" t="s">
        <v>49</v>
      </c>
      <c r="Q6" s="13">
        <v>22.367999999999999</v>
      </c>
      <c r="R6" s="11">
        <v>2</v>
      </c>
      <c r="S6" s="16">
        <v>0.2</v>
      </c>
      <c r="T6" s="13">
        <v>2.5164</v>
      </c>
      <c r="U6" s="1" t="str">
        <f t="shared" si="1"/>
        <v>Profit</v>
      </c>
      <c r="V6" s="1" t="str">
        <f t="shared" si="2"/>
        <v>Low</v>
      </c>
      <c r="AA6" s="11"/>
      <c r="AB6" s="11"/>
    </row>
    <row r="7" spans="1:29" x14ac:dyDescent="0.35">
      <c r="A7" s="11">
        <v>6</v>
      </c>
      <c r="B7" s="10">
        <v>40703</v>
      </c>
      <c r="C7" s="11">
        <v>2011</v>
      </c>
      <c r="D7" s="12" t="s">
        <v>32</v>
      </c>
      <c r="E7" s="10">
        <v>40708</v>
      </c>
      <c r="F7" s="11">
        <f t="shared" si="0"/>
        <v>5</v>
      </c>
      <c r="G7" s="11" t="s">
        <v>42</v>
      </c>
      <c r="H7" s="11" t="s">
        <v>50</v>
      </c>
      <c r="I7" s="11" t="s">
        <v>23</v>
      </c>
      <c r="J7" s="11" t="s">
        <v>890</v>
      </c>
      <c r="K7" s="11" t="s">
        <v>35</v>
      </c>
      <c r="L7" s="11" t="s">
        <v>36</v>
      </c>
      <c r="M7" s="11" t="s">
        <v>37</v>
      </c>
      <c r="N7" s="11" t="s">
        <v>27</v>
      </c>
      <c r="O7" s="11" t="s">
        <v>51</v>
      </c>
      <c r="P7" s="11" t="s">
        <v>52</v>
      </c>
      <c r="Q7" s="13">
        <v>48.86</v>
      </c>
      <c r="R7" s="11">
        <v>7</v>
      </c>
      <c r="S7" s="16">
        <v>0</v>
      </c>
      <c r="T7" s="13">
        <v>14.1694</v>
      </c>
      <c r="U7" s="1" t="str">
        <f t="shared" si="1"/>
        <v>Profit</v>
      </c>
      <c r="V7" s="1" t="str">
        <f t="shared" si="2"/>
        <v>Low</v>
      </c>
    </row>
    <row r="8" spans="1:29" x14ac:dyDescent="0.35">
      <c r="A8" s="11">
        <v>7</v>
      </c>
      <c r="B8" s="10">
        <v>40703</v>
      </c>
      <c r="C8" s="11">
        <v>2011</v>
      </c>
      <c r="D8" s="12" t="s">
        <v>32</v>
      </c>
      <c r="E8" s="10">
        <v>40708</v>
      </c>
      <c r="F8" s="11">
        <f t="shared" si="0"/>
        <v>5</v>
      </c>
      <c r="G8" s="11" t="s">
        <v>42</v>
      </c>
      <c r="H8" s="11" t="s">
        <v>50</v>
      </c>
      <c r="I8" s="11" t="s">
        <v>23</v>
      </c>
      <c r="J8" s="11" t="s">
        <v>890</v>
      </c>
      <c r="K8" s="11" t="s">
        <v>35</v>
      </c>
      <c r="L8" s="11" t="s">
        <v>36</v>
      </c>
      <c r="M8" s="11" t="s">
        <v>37</v>
      </c>
      <c r="N8" s="11" t="s">
        <v>38</v>
      </c>
      <c r="O8" s="11" t="s">
        <v>53</v>
      </c>
      <c r="P8" s="11" t="s">
        <v>54</v>
      </c>
      <c r="Q8" s="13">
        <v>7.28</v>
      </c>
      <c r="R8" s="11">
        <v>4</v>
      </c>
      <c r="S8" s="16">
        <v>0</v>
      </c>
      <c r="T8" s="13">
        <v>1.9656</v>
      </c>
      <c r="U8" s="1" t="str">
        <f t="shared" si="1"/>
        <v>Profit</v>
      </c>
      <c r="V8" s="1" t="str">
        <f t="shared" si="2"/>
        <v>Low</v>
      </c>
    </row>
    <row r="9" spans="1:29" x14ac:dyDescent="0.35">
      <c r="A9" s="11">
        <v>8</v>
      </c>
      <c r="B9" s="10">
        <v>40703</v>
      </c>
      <c r="C9" s="11">
        <v>2011</v>
      </c>
      <c r="D9" s="12" t="s">
        <v>32</v>
      </c>
      <c r="E9" s="10">
        <v>40708</v>
      </c>
      <c r="F9" s="11">
        <f t="shared" si="0"/>
        <v>5</v>
      </c>
      <c r="G9" s="11" t="s">
        <v>42</v>
      </c>
      <c r="H9" s="11" t="s">
        <v>50</v>
      </c>
      <c r="I9" s="11" t="s">
        <v>23</v>
      </c>
      <c r="J9" s="11" t="s">
        <v>890</v>
      </c>
      <c r="K9" s="11" t="s">
        <v>35</v>
      </c>
      <c r="L9" s="11" t="s">
        <v>36</v>
      </c>
      <c r="M9" s="11" t="s">
        <v>37</v>
      </c>
      <c r="N9" s="11" t="s">
        <v>55</v>
      </c>
      <c r="O9" s="11" t="s">
        <v>56</v>
      </c>
      <c r="P9" s="11" t="s">
        <v>57</v>
      </c>
      <c r="Q9" s="13">
        <v>907.15200000000004</v>
      </c>
      <c r="R9" s="11">
        <v>6</v>
      </c>
      <c r="S9" s="16">
        <v>0.2</v>
      </c>
      <c r="T9" s="13">
        <v>90.715199999999996</v>
      </c>
      <c r="U9" s="1" t="str">
        <f t="shared" si="1"/>
        <v>Profit</v>
      </c>
      <c r="V9" s="1" t="str">
        <f t="shared" si="2"/>
        <v>Medium</v>
      </c>
      <c r="X9" s="22" t="s">
        <v>919</v>
      </c>
      <c r="Y9" s="22"/>
      <c r="AA9" s="24" t="s">
        <v>916</v>
      </c>
    </row>
    <row r="10" spans="1:29" x14ac:dyDescent="0.35">
      <c r="A10" s="11">
        <v>9</v>
      </c>
      <c r="B10" s="10">
        <v>40703</v>
      </c>
      <c r="C10" s="11">
        <v>2011</v>
      </c>
      <c r="D10" s="12" t="s">
        <v>32</v>
      </c>
      <c r="E10" s="10">
        <v>40708</v>
      </c>
      <c r="F10" s="11">
        <f t="shared" si="0"/>
        <v>5</v>
      </c>
      <c r="G10" s="11" t="s">
        <v>42</v>
      </c>
      <c r="H10" s="11" t="s">
        <v>50</v>
      </c>
      <c r="I10" s="11" t="s">
        <v>23</v>
      </c>
      <c r="J10" s="11" t="s">
        <v>890</v>
      </c>
      <c r="K10" s="11" t="s">
        <v>35</v>
      </c>
      <c r="L10" s="11" t="s">
        <v>36</v>
      </c>
      <c r="M10" s="11" t="s">
        <v>37</v>
      </c>
      <c r="N10" s="11" t="s">
        <v>38</v>
      </c>
      <c r="O10" s="11" t="s">
        <v>58</v>
      </c>
      <c r="P10" s="11" t="s">
        <v>59</v>
      </c>
      <c r="Q10" s="13">
        <v>18.504000000000001</v>
      </c>
      <c r="R10" s="11">
        <v>3</v>
      </c>
      <c r="S10" s="16">
        <v>0.2</v>
      </c>
      <c r="T10" s="13">
        <v>5.7824999999999998</v>
      </c>
      <c r="U10" s="1" t="str">
        <f t="shared" si="1"/>
        <v>Profit</v>
      </c>
      <c r="V10" s="1" t="str">
        <f t="shared" si="2"/>
        <v>Low</v>
      </c>
      <c r="X10" s="22"/>
      <c r="Y10" s="22"/>
      <c r="AA10" s="17">
        <f>SUM(T2:T529)</f>
        <v>10158.723600000001</v>
      </c>
      <c r="AB10"/>
    </row>
    <row r="11" spans="1:29" x14ac:dyDescent="0.35">
      <c r="A11" s="11">
        <v>10</v>
      </c>
      <c r="B11" s="10">
        <v>40703</v>
      </c>
      <c r="C11" s="11">
        <v>2011</v>
      </c>
      <c r="D11" s="12" t="s">
        <v>32</v>
      </c>
      <c r="E11" s="10">
        <v>40708</v>
      </c>
      <c r="F11" s="11">
        <f t="shared" si="0"/>
        <v>5</v>
      </c>
      <c r="G11" s="11" t="s">
        <v>42</v>
      </c>
      <c r="H11" s="11" t="s">
        <v>50</v>
      </c>
      <c r="I11" s="11" t="s">
        <v>23</v>
      </c>
      <c r="J11" s="11" t="s">
        <v>890</v>
      </c>
      <c r="K11" s="11" t="s">
        <v>35</v>
      </c>
      <c r="L11" s="11" t="s">
        <v>36</v>
      </c>
      <c r="M11" s="11" t="s">
        <v>37</v>
      </c>
      <c r="N11" s="11" t="s">
        <v>38</v>
      </c>
      <c r="O11" s="11" t="s">
        <v>60</v>
      </c>
      <c r="P11" s="11" t="s">
        <v>61</v>
      </c>
      <c r="Q11" s="13">
        <v>114.9</v>
      </c>
      <c r="R11" s="11">
        <v>5</v>
      </c>
      <c r="S11" s="16">
        <v>0</v>
      </c>
      <c r="T11" s="13">
        <v>34.47</v>
      </c>
      <c r="U11" s="1" t="str">
        <f t="shared" si="1"/>
        <v>Profit</v>
      </c>
      <c r="V11" s="1" t="str">
        <f t="shared" si="2"/>
        <v>Low</v>
      </c>
      <c r="X11" s="25" t="s">
        <v>920</v>
      </c>
      <c r="Y11" s="25" t="s">
        <v>921</v>
      </c>
      <c r="AA11"/>
      <c r="AB11"/>
    </row>
    <row r="12" spans="1:29" x14ac:dyDescent="0.35">
      <c r="A12" s="11">
        <v>11</v>
      </c>
      <c r="B12" s="10">
        <v>40703</v>
      </c>
      <c r="C12" s="11">
        <v>2011</v>
      </c>
      <c r="D12" s="12" t="s">
        <v>32</v>
      </c>
      <c r="E12" s="10">
        <v>40708</v>
      </c>
      <c r="F12" s="11">
        <f t="shared" si="0"/>
        <v>5</v>
      </c>
      <c r="G12" s="11" t="s">
        <v>42</v>
      </c>
      <c r="H12" s="11" t="s">
        <v>50</v>
      </c>
      <c r="I12" s="11" t="s">
        <v>23</v>
      </c>
      <c r="J12" s="11" t="s">
        <v>890</v>
      </c>
      <c r="K12" s="11" t="s">
        <v>35</v>
      </c>
      <c r="L12" s="11" t="s">
        <v>36</v>
      </c>
      <c r="M12" s="11" t="s">
        <v>37</v>
      </c>
      <c r="N12" s="11" t="s">
        <v>27</v>
      </c>
      <c r="O12" s="11" t="s">
        <v>46</v>
      </c>
      <c r="P12" s="11" t="s">
        <v>62</v>
      </c>
      <c r="Q12" s="13">
        <v>1706.184</v>
      </c>
      <c r="R12" s="11">
        <v>9</v>
      </c>
      <c r="S12" s="16">
        <v>0.2</v>
      </c>
      <c r="T12" s="13">
        <v>85.309200000000004</v>
      </c>
      <c r="U12" s="1" t="str">
        <f t="shared" si="1"/>
        <v>Profit</v>
      </c>
      <c r="V12" s="1" t="str">
        <f t="shared" si="2"/>
        <v>High</v>
      </c>
      <c r="X12" s="15" t="s">
        <v>922</v>
      </c>
      <c r="Y12" s="18" t="s">
        <v>926</v>
      </c>
      <c r="AA12"/>
    </row>
    <row r="13" spans="1:29" x14ac:dyDescent="0.35">
      <c r="A13" s="11">
        <v>12</v>
      </c>
      <c r="B13" s="10">
        <v>40703</v>
      </c>
      <c r="C13" s="11">
        <v>2011</v>
      </c>
      <c r="D13" s="12" t="s">
        <v>32</v>
      </c>
      <c r="E13" s="10">
        <v>40708</v>
      </c>
      <c r="F13" s="11">
        <f t="shared" si="0"/>
        <v>5</v>
      </c>
      <c r="G13" s="11" t="s">
        <v>42</v>
      </c>
      <c r="H13" s="11" t="s">
        <v>50</v>
      </c>
      <c r="I13" s="11" t="s">
        <v>23</v>
      </c>
      <c r="J13" s="11" t="s">
        <v>890</v>
      </c>
      <c r="K13" s="11" t="s">
        <v>35</v>
      </c>
      <c r="L13" s="11" t="s">
        <v>36</v>
      </c>
      <c r="M13" s="11" t="s">
        <v>37</v>
      </c>
      <c r="N13" s="11" t="s">
        <v>55</v>
      </c>
      <c r="O13" s="11" t="s">
        <v>56</v>
      </c>
      <c r="P13" s="11" t="s">
        <v>63</v>
      </c>
      <c r="Q13" s="13">
        <v>911.42399999999998</v>
      </c>
      <c r="R13" s="11">
        <v>4</v>
      </c>
      <c r="S13" s="16">
        <v>0.2</v>
      </c>
      <c r="T13" s="13">
        <v>68.356800000000007</v>
      </c>
      <c r="U13" s="1" t="str">
        <f t="shared" si="1"/>
        <v>Profit</v>
      </c>
      <c r="V13" s="1" t="str">
        <f t="shared" si="2"/>
        <v>Medium</v>
      </c>
      <c r="X13" s="33"/>
      <c r="Y13" s="33" t="s">
        <v>927</v>
      </c>
      <c r="AA13"/>
    </row>
    <row r="14" spans="1:29" x14ac:dyDescent="0.35">
      <c r="A14" s="11">
        <v>13</v>
      </c>
      <c r="B14" s="10">
        <v>41745</v>
      </c>
      <c r="C14" s="11">
        <v>2014</v>
      </c>
      <c r="D14" s="12" t="s">
        <v>64</v>
      </c>
      <c r="E14" s="10">
        <v>41750</v>
      </c>
      <c r="F14" s="11">
        <f t="shared" si="0"/>
        <v>5</v>
      </c>
      <c r="G14" s="11" t="s">
        <v>42</v>
      </c>
      <c r="H14" s="11" t="s">
        <v>65</v>
      </c>
      <c r="I14" s="11" t="s">
        <v>23</v>
      </c>
      <c r="J14" s="11" t="s">
        <v>890</v>
      </c>
      <c r="K14" s="11" t="s">
        <v>66</v>
      </c>
      <c r="L14" s="11" t="s">
        <v>67</v>
      </c>
      <c r="M14" s="11" t="s">
        <v>26</v>
      </c>
      <c r="N14" s="11" t="s">
        <v>38</v>
      </c>
      <c r="O14" s="11" t="s">
        <v>68</v>
      </c>
      <c r="P14" s="11" t="s">
        <v>69</v>
      </c>
      <c r="Q14" s="13">
        <v>15.552</v>
      </c>
      <c r="R14" s="11">
        <v>3</v>
      </c>
      <c r="S14" s="16">
        <v>0.2</v>
      </c>
      <c r="T14" s="13">
        <v>5.4432</v>
      </c>
      <c r="U14" s="1" t="str">
        <f t="shared" si="1"/>
        <v>Profit</v>
      </c>
      <c r="V14" s="1" t="str">
        <f t="shared" si="2"/>
        <v>Low</v>
      </c>
      <c r="AA14"/>
      <c r="AB14"/>
    </row>
    <row r="15" spans="1:29" x14ac:dyDescent="0.35">
      <c r="A15" s="11">
        <v>14</v>
      </c>
      <c r="B15" s="10">
        <v>41614</v>
      </c>
      <c r="C15" s="11">
        <v>2013</v>
      </c>
      <c r="D15" s="12" t="s">
        <v>70</v>
      </c>
      <c r="E15" s="10">
        <v>41619</v>
      </c>
      <c r="F15" s="11">
        <f t="shared" si="0"/>
        <v>5</v>
      </c>
      <c r="G15" s="11" t="s">
        <v>42</v>
      </c>
      <c r="H15" s="11" t="s">
        <v>71</v>
      </c>
      <c r="I15" s="11" t="s">
        <v>23</v>
      </c>
      <c r="J15" s="11" t="s">
        <v>890</v>
      </c>
      <c r="K15" s="11" t="s">
        <v>72</v>
      </c>
      <c r="L15" s="11" t="s">
        <v>73</v>
      </c>
      <c r="M15" s="11" t="s">
        <v>37</v>
      </c>
      <c r="N15" s="11" t="s">
        <v>38</v>
      </c>
      <c r="O15" s="11" t="s">
        <v>58</v>
      </c>
      <c r="P15" s="11" t="s">
        <v>74</v>
      </c>
      <c r="Q15" s="13">
        <v>407.976</v>
      </c>
      <c r="R15" s="11">
        <v>3</v>
      </c>
      <c r="S15" s="16">
        <v>0.2</v>
      </c>
      <c r="T15" s="13">
        <v>132.59219999999999</v>
      </c>
      <c r="U15" s="1" t="str">
        <f t="shared" si="1"/>
        <v>Profit</v>
      </c>
      <c r="V15" s="1" t="str">
        <f t="shared" si="2"/>
        <v>Low</v>
      </c>
      <c r="AA15"/>
      <c r="AB15"/>
    </row>
    <row r="16" spans="1:29" x14ac:dyDescent="0.35">
      <c r="A16" s="11">
        <v>15</v>
      </c>
      <c r="B16" s="10">
        <v>41235</v>
      </c>
      <c r="C16" s="11">
        <v>2012</v>
      </c>
      <c r="D16" s="12" t="s">
        <v>20</v>
      </c>
      <c r="E16" s="10">
        <v>41239</v>
      </c>
      <c r="F16" s="11">
        <f t="shared" si="0"/>
        <v>4</v>
      </c>
      <c r="G16" s="11" t="s">
        <v>42</v>
      </c>
      <c r="H16" s="11" t="s">
        <v>75</v>
      </c>
      <c r="I16" s="11" t="s">
        <v>76</v>
      </c>
      <c r="J16" s="11" t="s">
        <v>890</v>
      </c>
      <c r="K16" s="11" t="s">
        <v>77</v>
      </c>
      <c r="L16" s="11" t="s">
        <v>78</v>
      </c>
      <c r="M16" s="11" t="s">
        <v>79</v>
      </c>
      <c r="N16" s="11" t="s">
        <v>38</v>
      </c>
      <c r="O16" s="11" t="s">
        <v>60</v>
      </c>
      <c r="P16" s="11" t="s">
        <v>80</v>
      </c>
      <c r="Q16" s="13">
        <v>68.81</v>
      </c>
      <c r="R16" s="11">
        <v>5</v>
      </c>
      <c r="S16" s="16">
        <v>0.8</v>
      </c>
      <c r="T16" s="13">
        <v>-123.858</v>
      </c>
      <c r="U16" s="1" t="str">
        <f t="shared" si="1"/>
        <v>Loss</v>
      </c>
      <c r="V16" s="1" t="str">
        <f t="shared" si="2"/>
        <v>Low</v>
      </c>
      <c r="X16" s="22" t="s">
        <v>914</v>
      </c>
      <c r="Y16" s="23"/>
      <c r="Z16"/>
      <c r="AA16"/>
    </row>
    <row r="17" spans="1:27" ht="14.4" customHeight="1" x14ac:dyDescent="0.35">
      <c r="A17" s="11">
        <v>16</v>
      </c>
      <c r="B17" s="10">
        <v>41235</v>
      </c>
      <c r="C17" s="11">
        <v>2012</v>
      </c>
      <c r="D17" s="12" t="s">
        <v>20</v>
      </c>
      <c r="E17" s="10">
        <v>41239</v>
      </c>
      <c r="F17" s="11">
        <f t="shared" si="0"/>
        <v>4</v>
      </c>
      <c r="G17" s="11" t="s">
        <v>42</v>
      </c>
      <c r="H17" s="11" t="s">
        <v>75</v>
      </c>
      <c r="I17" s="11" t="s">
        <v>76</v>
      </c>
      <c r="J17" s="11" t="s">
        <v>890</v>
      </c>
      <c r="K17" s="11" t="s">
        <v>77</v>
      </c>
      <c r="L17" s="11" t="s">
        <v>78</v>
      </c>
      <c r="M17" s="11" t="s">
        <v>79</v>
      </c>
      <c r="N17" s="11" t="s">
        <v>38</v>
      </c>
      <c r="O17" s="11" t="s">
        <v>58</v>
      </c>
      <c r="P17" s="11" t="s">
        <v>81</v>
      </c>
      <c r="Q17" s="13">
        <v>2.544</v>
      </c>
      <c r="R17" s="11">
        <v>3</v>
      </c>
      <c r="S17" s="16">
        <v>0.8</v>
      </c>
      <c r="T17" s="13">
        <v>-3.8159999999999998</v>
      </c>
      <c r="U17" s="1" t="str">
        <f t="shared" si="1"/>
        <v>Loss</v>
      </c>
      <c r="V17" s="1" t="str">
        <f t="shared" si="2"/>
        <v>Low</v>
      </c>
      <c r="X17" s="25" t="s">
        <v>913</v>
      </c>
      <c r="Y17" s="25" t="s">
        <v>11</v>
      </c>
    </row>
    <row r="18" spans="1:27" x14ac:dyDescent="0.35">
      <c r="A18" s="11">
        <v>17</v>
      </c>
      <c r="B18" s="10">
        <v>40858</v>
      </c>
      <c r="C18" s="11">
        <v>2011</v>
      </c>
      <c r="D18" s="12" t="s">
        <v>20</v>
      </c>
      <c r="E18" s="10">
        <v>40865</v>
      </c>
      <c r="F18" s="11">
        <f t="shared" si="0"/>
        <v>7</v>
      </c>
      <c r="G18" s="11" t="s">
        <v>42</v>
      </c>
      <c r="H18" s="11" t="s">
        <v>82</v>
      </c>
      <c r="I18" s="11" t="s">
        <v>23</v>
      </c>
      <c r="J18" s="11" t="s">
        <v>890</v>
      </c>
      <c r="K18" s="11" t="s">
        <v>83</v>
      </c>
      <c r="L18" s="11" t="s">
        <v>84</v>
      </c>
      <c r="M18" s="11" t="s">
        <v>79</v>
      </c>
      <c r="N18" s="11" t="s">
        <v>38</v>
      </c>
      <c r="O18" s="11" t="s">
        <v>48</v>
      </c>
      <c r="P18" s="11" t="s">
        <v>85</v>
      </c>
      <c r="Q18" s="13">
        <v>665.88</v>
      </c>
      <c r="R18" s="11">
        <v>6</v>
      </c>
      <c r="S18" s="16">
        <v>0</v>
      </c>
      <c r="T18" s="13">
        <v>13.317600000000001</v>
      </c>
      <c r="U18" s="1" t="str">
        <f t="shared" si="1"/>
        <v>Profit</v>
      </c>
      <c r="V18" s="1" t="str">
        <f t="shared" si="2"/>
        <v>Medium</v>
      </c>
      <c r="W18"/>
      <c r="X18" s="15" t="s">
        <v>33</v>
      </c>
      <c r="Y18" s="15" t="str">
        <f>INDEX(L:L,MATCH(X18,Database!H:H,0))</f>
        <v>California</v>
      </c>
      <c r="Z18"/>
    </row>
    <row r="19" spans="1:27" x14ac:dyDescent="0.35">
      <c r="A19" s="11">
        <v>18</v>
      </c>
      <c r="B19" s="10">
        <v>40676</v>
      </c>
      <c r="C19" s="11">
        <v>2011</v>
      </c>
      <c r="D19" s="12" t="s">
        <v>86</v>
      </c>
      <c r="E19" s="10">
        <v>40678</v>
      </c>
      <c r="F19" s="11">
        <f t="shared" si="0"/>
        <v>2</v>
      </c>
      <c r="G19" s="11" t="s">
        <v>21</v>
      </c>
      <c r="H19" s="11" t="s">
        <v>87</v>
      </c>
      <c r="I19" s="11" t="s">
        <v>23</v>
      </c>
      <c r="J19" s="11" t="s">
        <v>890</v>
      </c>
      <c r="K19" s="11" t="s">
        <v>88</v>
      </c>
      <c r="L19" s="11" t="s">
        <v>89</v>
      </c>
      <c r="M19" s="11" t="s">
        <v>37</v>
      </c>
      <c r="N19" s="11" t="s">
        <v>38</v>
      </c>
      <c r="O19" s="11" t="s">
        <v>48</v>
      </c>
      <c r="P19" s="11" t="s">
        <v>90</v>
      </c>
      <c r="Q19" s="13">
        <v>55.5</v>
      </c>
      <c r="R19" s="11">
        <v>2</v>
      </c>
      <c r="S19" s="16">
        <v>0</v>
      </c>
      <c r="T19" s="13">
        <v>9.99</v>
      </c>
      <c r="U19" s="1" t="str">
        <f t="shared" si="1"/>
        <v>Profit</v>
      </c>
      <c r="V19" s="1" t="str">
        <f t="shared" si="2"/>
        <v>Low</v>
      </c>
      <c r="W19"/>
      <c r="Z19"/>
      <c r="AA19"/>
    </row>
    <row r="20" spans="1:27" x14ac:dyDescent="0.35">
      <c r="A20" s="11">
        <v>19</v>
      </c>
      <c r="B20" s="10">
        <v>40782</v>
      </c>
      <c r="C20" s="11">
        <v>2011</v>
      </c>
      <c r="D20" s="12" t="s">
        <v>91</v>
      </c>
      <c r="E20" s="10">
        <v>40787</v>
      </c>
      <c r="F20" s="11">
        <f t="shared" si="0"/>
        <v>5</v>
      </c>
      <c r="G20" s="11" t="s">
        <v>21</v>
      </c>
      <c r="H20" s="11" t="s">
        <v>92</v>
      </c>
      <c r="I20" s="11" t="s">
        <v>23</v>
      </c>
      <c r="J20" s="11" t="s">
        <v>890</v>
      </c>
      <c r="K20" s="11" t="s">
        <v>93</v>
      </c>
      <c r="L20" s="11" t="s">
        <v>36</v>
      </c>
      <c r="M20" s="11" t="s">
        <v>37</v>
      </c>
      <c r="N20" s="11" t="s">
        <v>38</v>
      </c>
      <c r="O20" s="11" t="s">
        <v>53</v>
      </c>
      <c r="P20" s="11" t="s">
        <v>94</v>
      </c>
      <c r="Q20" s="13">
        <v>8.56</v>
      </c>
      <c r="R20" s="11">
        <v>2</v>
      </c>
      <c r="S20" s="16">
        <v>0</v>
      </c>
      <c r="T20" s="13">
        <v>2.4824000000000002</v>
      </c>
      <c r="U20" s="1" t="str">
        <f t="shared" si="1"/>
        <v>Profit</v>
      </c>
      <c r="V20" s="1" t="str">
        <f t="shared" si="2"/>
        <v>Low</v>
      </c>
      <c r="W20"/>
      <c r="Z20"/>
      <c r="AA20"/>
    </row>
    <row r="21" spans="1:27" x14ac:dyDescent="0.35">
      <c r="A21" s="11">
        <v>20</v>
      </c>
      <c r="B21" s="10">
        <v>40782</v>
      </c>
      <c r="C21" s="11">
        <v>2011</v>
      </c>
      <c r="D21" s="12" t="s">
        <v>91</v>
      </c>
      <c r="E21" s="10">
        <v>40787</v>
      </c>
      <c r="F21" s="11">
        <f t="shared" si="0"/>
        <v>5</v>
      </c>
      <c r="G21" s="11" t="s">
        <v>21</v>
      </c>
      <c r="H21" s="11" t="s">
        <v>92</v>
      </c>
      <c r="I21" s="11" t="s">
        <v>23</v>
      </c>
      <c r="J21" s="11" t="s">
        <v>890</v>
      </c>
      <c r="K21" s="11" t="s">
        <v>93</v>
      </c>
      <c r="L21" s="11" t="s">
        <v>36</v>
      </c>
      <c r="M21" s="11" t="s">
        <v>37</v>
      </c>
      <c r="N21" s="11" t="s">
        <v>55</v>
      </c>
      <c r="O21" s="11" t="s">
        <v>56</v>
      </c>
      <c r="P21" s="11" t="s">
        <v>95</v>
      </c>
      <c r="Q21" s="13">
        <v>213.48</v>
      </c>
      <c r="R21" s="11">
        <v>3</v>
      </c>
      <c r="S21" s="16">
        <v>0.2</v>
      </c>
      <c r="T21" s="13">
        <v>16.010999999999999</v>
      </c>
      <c r="U21" s="1" t="str">
        <f t="shared" si="1"/>
        <v>Profit</v>
      </c>
      <c r="V21" s="1" t="str">
        <f t="shared" si="2"/>
        <v>Low</v>
      </c>
      <c r="W21"/>
      <c r="X21"/>
      <c r="Y21"/>
      <c r="Z21"/>
      <c r="AA21"/>
    </row>
    <row r="22" spans="1:27" x14ac:dyDescent="0.35">
      <c r="A22" s="11">
        <v>21</v>
      </c>
      <c r="B22" s="10">
        <v>40782</v>
      </c>
      <c r="C22" s="11">
        <v>2011</v>
      </c>
      <c r="D22" s="12" t="s">
        <v>91</v>
      </c>
      <c r="E22" s="10">
        <v>40787</v>
      </c>
      <c r="F22" s="11">
        <f t="shared" si="0"/>
        <v>5</v>
      </c>
      <c r="G22" s="11" t="s">
        <v>21</v>
      </c>
      <c r="H22" s="11" t="s">
        <v>92</v>
      </c>
      <c r="I22" s="11" t="s">
        <v>23</v>
      </c>
      <c r="J22" s="11" t="s">
        <v>890</v>
      </c>
      <c r="K22" s="11" t="s">
        <v>93</v>
      </c>
      <c r="L22" s="11" t="s">
        <v>36</v>
      </c>
      <c r="M22" s="11" t="s">
        <v>37</v>
      </c>
      <c r="N22" s="11" t="s">
        <v>38</v>
      </c>
      <c r="O22" s="11" t="s">
        <v>58</v>
      </c>
      <c r="P22" s="11" t="s">
        <v>96</v>
      </c>
      <c r="Q22" s="13">
        <v>22.72</v>
      </c>
      <c r="R22" s="11">
        <v>4</v>
      </c>
      <c r="S22" s="16">
        <v>0.2</v>
      </c>
      <c r="T22" s="13">
        <v>7.3840000000000003</v>
      </c>
      <c r="U22" s="1" t="str">
        <f t="shared" si="1"/>
        <v>Profit</v>
      </c>
      <c r="V22" s="1" t="str">
        <f t="shared" si="2"/>
        <v>Low</v>
      </c>
      <c r="W22"/>
      <c r="X22"/>
      <c r="Y22"/>
      <c r="Z22"/>
      <c r="AA22"/>
    </row>
    <row r="23" spans="1:27" x14ac:dyDescent="0.35">
      <c r="A23" s="11">
        <v>22</v>
      </c>
      <c r="B23" s="10">
        <v>41618</v>
      </c>
      <c r="C23" s="11">
        <v>2013</v>
      </c>
      <c r="D23" s="12" t="s">
        <v>70</v>
      </c>
      <c r="E23" s="10">
        <v>41622</v>
      </c>
      <c r="F23" s="11">
        <f t="shared" si="0"/>
        <v>4</v>
      </c>
      <c r="G23" s="11" t="s">
        <v>42</v>
      </c>
      <c r="H23" s="11" t="s">
        <v>97</v>
      </c>
      <c r="I23" s="11" t="s">
        <v>34</v>
      </c>
      <c r="J23" s="11" t="s">
        <v>890</v>
      </c>
      <c r="K23" s="11" t="s">
        <v>98</v>
      </c>
      <c r="L23" s="11" t="s">
        <v>99</v>
      </c>
      <c r="M23" s="11" t="s">
        <v>79</v>
      </c>
      <c r="N23" s="11" t="s">
        <v>38</v>
      </c>
      <c r="O23" s="11" t="s">
        <v>53</v>
      </c>
      <c r="P23" s="11" t="s">
        <v>100</v>
      </c>
      <c r="Q23" s="13">
        <v>19.46</v>
      </c>
      <c r="R23" s="11">
        <v>7</v>
      </c>
      <c r="S23" s="16">
        <v>0</v>
      </c>
      <c r="T23" s="13">
        <v>5.0595999999999997</v>
      </c>
      <c r="U23" s="1" t="str">
        <f t="shared" si="1"/>
        <v>Profit</v>
      </c>
      <c r="V23" s="1" t="str">
        <f t="shared" si="2"/>
        <v>Low</v>
      </c>
      <c r="W23"/>
      <c r="X23"/>
      <c r="Y23"/>
      <c r="Z23"/>
      <c r="AA23"/>
    </row>
    <row r="24" spans="1:27" x14ac:dyDescent="0.35">
      <c r="A24" s="11">
        <v>23</v>
      </c>
      <c r="B24" s="10">
        <v>41618</v>
      </c>
      <c r="C24" s="11">
        <v>2013</v>
      </c>
      <c r="D24" s="12" t="s">
        <v>70</v>
      </c>
      <c r="E24" s="10">
        <v>41622</v>
      </c>
      <c r="F24" s="11">
        <f t="shared" si="0"/>
        <v>4</v>
      </c>
      <c r="G24" s="11" t="s">
        <v>42</v>
      </c>
      <c r="H24" s="11" t="s">
        <v>97</v>
      </c>
      <c r="I24" s="11" t="s">
        <v>34</v>
      </c>
      <c r="J24" s="11" t="s">
        <v>890</v>
      </c>
      <c r="K24" s="11" t="s">
        <v>98</v>
      </c>
      <c r="L24" s="11" t="s">
        <v>99</v>
      </c>
      <c r="M24" s="11" t="s">
        <v>79</v>
      </c>
      <c r="N24" s="11" t="s">
        <v>38</v>
      </c>
      <c r="O24" s="11" t="s">
        <v>60</v>
      </c>
      <c r="P24" s="11" t="s">
        <v>101</v>
      </c>
      <c r="Q24" s="13">
        <v>60.34</v>
      </c>
      <c r="R24" s="11">
        <v>7</v>
      </c>
      <c r="S24" s="16">
        <v>0</v>
      </c>
      <c r="T24" s="13">
        <v>15.6884</v>
      </c>
      <c r="U24" s="1" t="str">
        <f t="shared" si="1"/>
        <v>Profit</v>
      </c>
      <c r="V24" s="1" t="str">
        <f t="shared" si="2"/>
        <v>Low</v>
      </c>
      <c r="W24"/>
      <c r="X24" s="22" t="s">
        <v>924</v>
      </c>
      <c r="Y24" s="22"/>
      <c r="Z24"/>
      <c r="AA24"/>
    </row>
    <row r="25" spans="1:27" x14ac:dyDescent="0.35">
      <c r="A25" s="11">
        <v>24</v>
      </c>
      <c r="B25" s="10">
        <v>41837</v>
      </c>
      <c r="C25" s="11">
        <v>2014</v>
      </c>
      <c r="D25" s="12" t="s">
        <v>102</v>
      </c>
      <c r="E25" s="10">
        <v>41839</v>
      </c>
      <c r="F25" s="11">
        <f t="shared" si="0"/>
        <v>2</v>
      </c>
      <c r="G25" s="11" t="s">
        <v>21</v>
      </c>
      <c r="H25" s="11" t="s">
        <v>103</v>
      </c>
      <c r="I25" s="11" t="s">
        <v>23</v>
      </c>
      <c r="J25" s="11" t="s">
        <v>890</v>
      </c>
      <c r="K25" s="11" t="s">
        <v>104</v>
      </c>
      <c r="L25" s="11" t="s">
        <v>105</v>
      </c>
      <c r="M25" s="11" t="s">
        <v>106</v>
      </c>
      <c r="N25" s="11" t="s">
        <v>27</v>
      </c>
      <c r="O25" s="11" t="s">
        <v>30</v>
      </c>
      <c r="P25" s="11" t="s">
        <v>107</v>
      </c>
      <c r="Q25" s="13">
        <v>71.372</v>
      </c>
      <c r="R25" s="11">
        <v>2</v>
      </c>
      <c r="S25" s="16">
        <v>0.3</v>
      </c>
      <c r="T25" s="13">
        <v>-1.0196000000000001</v>
      </c>
      <c r="U25" s="1" t="str">
        <f t="shared" si="1"/>
        <v>Loss</v>
      </c>
      <c r="V25" s="1" t="str">
        <f t="shared" si="2"/>
        <v>Low</v>
      </c>
      <c r="W25" s="11"/>
      <c r="X25" s="22"/>
      <c r="Y25" s="22"/>
      <c r="Z25" s="11"/>
    </row>
    <row r="26" spans="1:27" x14ac:dyDescent="0.35">
      <c r="A26" s="11">
        <v>25</v>
      </c>
      <c r="B26" s="10">
        <v>41177</v>
      </c>
      <c r="C26" s="11">
        <v>2012</v>
      </c>
      <c r="D26" s="12" t="s">
        <v>108</v>
      </c>
      <c r="E26" s="10">
        <v>41182</v>
      </c>
      <c r="F26" s="11">
        <f t="shared" si="0"/>
        <v>5</v>
      </c>
      <c r="G26" s="11" t="s">
        <v>42</v>
      </c>
      <c r="H26" s="11" t="s">
        <v>109</v>
      </c>
      <c r="I26" s="11" t="s">
        <v>23</v>
      </c>
      <c r="J26" s="11" t="s">
        <v>890</v>
      </c>
      <c r="K26" s="11" t="s">
        <v>110</v>
      </c>
      <c r="L26" s="11" t="s">
        <v>89</v>
      </c>
      <c r="M26" s="11" t="s">
        <v>37</v>
      </c>
      <c r="N26" s="11" t="s">
        <v>27</v>
      </c>
      <c r="O26" s="11" t="s">
        <v>46</v>
      </c>
      <c r="P26" s="11" t="s">
        <v>47</v>
      </c>
      <c r="Q26" s="13">
        <v>1044.6300000000001</v>
      </c>
      <c r="R26" s="11">
        <v>3</v>
      </c>
      <c r="S26" s="16">
        <v>0</v>
      </c>
      <c r="T26" s="13">
        <v>240.26490000000001</v>
      </c>
      <c r="U26" s="1" t="str">
        <f t="shared" si="1"/>
        <v>Profit</v>
      </c>
      <c r="V26" s="1" t="str">
        <f t="shared" si="2"/>
        <v>High</v>
      </c>
      <c r="W26" s="11"/>
      <c r="X26" s="26" t="s">
        <v>923</v>
      </c>
      <c r="Y26" s="27"/>
      <c r="Z26" s="11"/>
      <c r="AA26"/>
    </row>
    <row r="27" spans="1:27" x14ac:dyDescent="0.35">
      <c r="A27" s="11">
        <v>26</v>
      </c>
      <c r="B27" s="10">
        <v>41290</v>
      </c>
      <c r="C27" s="11">
        <v>2013</v>
      </c>
      <c r="D27" s="12" t="s">
        <v>111</v>
      </c>
      <c r="E27" s="10">
        <v>41294</v>
      </c>
      <c r="F27" s="11">
        <f t="shared" si="0"/>
        <v>4</v>
      </c>
      <c r="G27" s="11" t="s">
        <v>21</v>
      </c>
      <c r="H27" s="11" t="s">
        <v>112</v>
      </c>
      <c r="I27" s="11" t="s">
        <v>23</v>
      </c>
      <c r="J27" s="11" t="s">
        <v>890</v>
      </c>
      <c r="K27" s="11" t="s">
        <v>35</v>
      </c>
      <c r="L27" s="11" t="s">
        <v>36</v>
      </c>
      <c r="M27" s="11" t="s">
        <v>37</v>
      </c>
      <c r="N27" s="11" t="s">
        <v>38</v>
      </c>
      <c r="O27" s="11" t="s">
        <v>58</v>
      </c>
      <c r="P27" s="11" t="s">
        <v>113</v>
      </c>
      <c r="Q27" s="13">
        <v>11.648</v>
      </c>
      <c r="R27" s="11">
        <v>2</v>
      </c>
      <c r="S27" s="16">
        <v>0.2</v>
      </c>
      <c r="T27" s="13">
        <v>4.2224000000000004</v>
      </c>
      <c r="U27" s="1" t="str">
        <f t="shared" si="1"/>
        <v>Profit</v>
      </c>
      <c r="V27" s="1" t="str">
        <f t="shared" si="2"/>
        <v>Low</v>
      </c>
      <c r="W27" s="11"/>
      <c r="Y27" s="11"/>
      <c r="Z27" s="11"/>
      <c r="AA27"/>
    </row>
    <row r="28" spans="1:27" x14ac:dyDescent="0.35">
      <c r="A28" s="11">
        <v>27</v>
      </c>
      <c r="B28" s="10">
        <v>41290</v>
      </c>
      <c r="C28" s="11">
        <v>2013</v>
      </c>
      <c r="D28" s="12" t="s">
        <v>111</v>
      </c>
      <c r="E28" s="10">
        <v>41294</v>
      </c>
      <c r="F28" s="11">
        <f t="shared" si="0"/>
        <v>4</v>
      </c>
      <c r="G28" s="11" t="s">
        <v>21</v>
      </c>
      <c r="H28" s="11" t="s">
        <v>112</v>
      </c>
      <c r="I28" s="11" t="s">
        <v>23</v>
      </c>
      <c r="J28" s="11" t="s">
        <v>890</v>
      </c>
      <c r="K28" s="11" t="s">
        <v>35</v>
      </c>
      <c r="L28" s="11" t="s">
        <v>36</v>
      </c>
      <c r="M28" s="11" t="s">
        <v>37</v>
      </c>
      <c r="N28" s="11" t="s">
        <v>55</v>
      </c>
      <c r="O28" s="11" t="s">
        <v>114</v>
      </c>
      <c r="P28" s="11" t="s">
        <v>115</v>
      </c>
      <c r="Q28" s="13">
        <v>90.57</v>
      </c>
      <c r="R28" s="11">
        <v>3</v>
      </c>
      <c r="S28" s="16">
        <v>0</v>
      </c>
      <c r="T28" s="13">
        <v>11.774100000000001</v>
      </c>
      <c r="U28" s="1" t="str">
        <f t="shared" si="1"/>
        <v>Profit</v>
      </c>
      <c r="V28" s="1" t="str">
        <f t="shared" si="2"/>
        <v>Low</v>
      </c>
      <c r="AA28"/>
    </row>
    <row r="29" spans="1:27" x14ac:dyDescent="0.35">
      <c r="A29" s="11">
        <v>28</v>
      </c>
      <c r="B29" s="10">
        <v>41169</v>
      </c>
      <c r="C29" s="11">
        <v>2012</v>
      </c>
      <c r="D29" s="12" t="s">
        <v>108</v>
      </c>
      <c r="E29" s="10">
        <v>41173</v>
      </c>
      <c r="F29" s="11">
        <f t="shared" si="0"/>
        <v>4</v>
      </c>
      <c r="G29" s="11" t="s">
        <v>42</v>
      </c>
      <c r="H29" s="11" t="s">
        <v>116</v>
      </c>
      <c r="I29" s="11" t="s">
        <v>23</v>
      </c>
      <c r="J29" s="11" t="s">
        <v>890</v>
      </c>
      <c r="K29" s="11" t="s">
        <v>104</v>
      </c>
      <c r="L29" s="11" t="s">
        <v>105</v>
      </c>
      <c r="M29" s="11" t="s">
        <v>106</v>
      </c>
      <c r="N29" s="11" t="s">
        <v>27</v>
      </c>
      <c r="O29" s="11" t="s">
        <v>28</v>
      </c>
      <c r="P29" s="11" t="s">
        <v>117</v>
      </c>
      <c r="Q29" s="13">
        <v>3083.43</v>
      </c>
      <c r="R29" s="11">
        <v>7</v>
      </c>
      <c r="S29" s="16">
        <v>0.5</v>
      </c>
      <c r="T29" s="13">
        <v>-1665.0522000000001</v>
      </c>
      <c r="U29" s="1" t="str">
        <f t="shared" si="1"/>
        <v>Loss</v>
      </c>
      <c r="V29" s="1" t="str">
        <f t="shared" si="2"/>
        <v>High</v>
      </c>
      <c r="AA29"/>
    </row>
    <row r="30" spans="1:27" x14ac:dyDescent="0.35">
      <c r="A30" s="11">
        <v>29</v>
      </c>
      <c r="B30" s="10">
        <v>41169</v>
      </c>
      <c r="C30" s="11">
        <v>2012</v>
      </c>
      <c r="D30" s="12" t="s">
        <v>108</v>
      </c>
      <c r="E30" s="10">
        <v>41173</v>
      </c>
      <c r="F30" s="11">
        <f t="shared" si="0"/>
        <v>4</v>
      </c>
      <c r="G30" s="11" t="s">
        <v>42</v>
      </c>
      <c r="H30" s="11" t="s">
        <v>116</v>
      </c>
      <c r="I30" s="11" t="s">
        <v>23</v>
      </c>
      <c r="J30" s="11" t="s">
        <v>890</v>
      </c>
      <c r="K30" s="11" t="s">
        <v>104</v>
      </c>
      <c r="L30" s="11" t="s">
        <v>105</v>
      </c>
      <c r="M30" s="11" t="s">
        <v>106</v>
      </c>
      <c r="N30" s="11" t="s">
        <v>38</v>
      </c>
      <c r="O30" s="11" t="s">
        <v>58</v>
      </c>
      <c r="P30" s="11" t="s">
        <v>118</v>
      </c>
      <c r="Q30" s="13">
        <v>9.6180000000000003</v>
      </c>
      <c r="R30" s="11">
        <v>2</v>
      </c>
      <c r="S30" s="16">
        <v>0.7</v>
      </c>
      <c r="T30" s="13">
        <v>-7.0532000000000004</v>
      </c>
      <c r="U30" s="1" t="str">
        <f t="shared" si="1"/>
        <v>Loss</v>
      </c>
      <c r="V30" s="1" t="str">
        <f t="shared" si="2"/>
        <v>Low</v>
      </c>
      <c r="AA30" s="11"/>
    </row>
    <row r="31" spans="1:27" x14ac:dyDescent="0.35">
      <c r="A31" s="11">
        <v>30</v>
      </c>
      <c r="B31" s="10">
        <v>41169</v>
      </c>
      <c r="C31" s="11">
        <v>2012</v>
      </c>
      <c r="D31" s="12" t="s">
        <v>108</v>
      </c>
      <c r="E31" s="10">
        <v>41173</v>
      </c>
      <c r="F31" s="11">
        <f t="shared" si="0"/>
        <v>4</v>
      </c>
      <c r="G31" s="11" t="s">
        <v>42</v>
      </c>
      <c r="H31" s="11" t="s">
        <v>116</v>
      </c>
      <c r="I31" s="11" t="s">
        <v>23</v>
      </c>
      <c r="J31" s="11" t="s">
        <v>890</v>
      </c>
      <c r="K31" s="11" t="s">
        <v>104</v>
      </c>
      <c r="L31" s="11" t="s">
        <v>105</v>
      </c>
      <c r="M31" s="11" t="s">
        <v>106</v>
      </c>
      <c r="N31" s="11" t="s">
        <v>27</v>
      </c>
      <c r="O31" s="11" t="s">
        <v>51</v>
      </c>
      <c r="P31" s="11" t="s">
        <v>119</v>
      </c>
      <c r="Q31" s="13">
        <v>124.2</v>
      </c>
      <c r="R31" s="11">
        <v>3</v>
      </c>
      <c r="S31" s="16">
        <v>0.2</v>
      </c>
      <c r="T31" s="13">
        <v>15.525</v>
      </c>
      <c r="U31" s="1" t="str">
        <f t="shared" si="1"/>
        <v>Profit</v>
      </c>
      <c r="V31" s="1" t="str">
        <f t="shared" si="2"/>
        <v>Low</v>
      </c>
      <c r="AA31" s="11"/>
    </row>
    <row r="32" spans="1:27" x14ac:dyDescent="0.35">
      <c r="A32" s="11">
        <v>31</v>
      </c>
      <c r="B32" s="10">
        <v>41169</v>
      </c>
      <c r="C32" s="11">
        <v>2012</v>
      </c>
      <c r="D32" s="12" t="s">
        <v>108</v>
      </c>
      <c r="E32" s="10">
        <v>41173</v>
      </c>
      <c r="F32" s="11">
        <f t="shared" si="0"/>
        <v>4</v>
      </c>
      <c r="G32" s="11" t="s">
        <v>42</v>
      </c>
      <c r="H32" s="11" t="s">
        <v>116</v>
      </c>
      <c r="I32" s="11" t="s">
        <v>23</v>
      </c>
      <c r="J32" s="11" t="s">
        <v>890</v>
      </c>
      <c r="K32" s="11" t="s">
        <v>104</v>
      </c>
      <c r="L32" s="11" t="s">
        <v>105</v>
      </c>
      <c r="M32" s="11" t="s">
        <v>106</v>
      </c>
      <c r="N32" s="11" t="s">
        <v>38</v>
      </c>
      <c r="O32" s="11" t="s">
        <v>120</v>
      </c>
      <c r="P32" s="11" t="s">
        <v>121</v>
      </c>
      <c r="Q32" s="13">
        <v>3.2639999999999998</v>
      </c>
      <c r="R32" s="11">
        <v>2</v>
      </c>
      <c r="S32" s="16">
        <v>0.2</v>
      </c>
      <c r="T32" s="13">
        <v>1.1015999999999999</v>
      </c>
      <c r="U32" s="1" t="str">
        <f t="shared" si="1"/>
        <v>Profit</v>
      </c>
      <c r="V32" s="1" t="str">
        <f t="shared" si="2"/>
        <v>Low</v>
      </c>
      <c r="AA32" s="11"/>
    </row>
    <row r="33" spans="1:27" x14ac:dyDescent="0.35">
      <c r="A33" s="11">
        <v>32</v>
      </c>
      <c r="B33" s="10">
        <v>41169</v>
      </c>
      <c r="C33" s="11">
        <v>2012</v>
      </c>
      <c r="D33" s="12" t="s">
        <v>108</v>
      </c>
      <c r="E33" s="10">
        <v>41173</v>
      </c>
      <c r="F33" s="11">
        <f t="shared" si="0"/>
        <v>4</v>
      </c>
      <c r="G33" s="11" t="s">
        <v>42</v>
      </c>
      <c r="H33" s="11" t="s">
        <v>116</v>
      </c>
      <c r="I33" s="11" t="s">
        <v>23</v>
      </c>
      <c r="J33" s="11" t="s">
        <v>890</v>
      </c>
      <c r="K33" s="11" t="s">
        <v>104</v>
      </c>
      <c r="L33" s="11" t="s">
        <v>105</v>
      </c>
      <c r="M33" s="11" t="s">
        <v>106</v>
      </c>
      <c r="N33" s="11" t="s">
        <v>38</v>
      </c>
      <c r="O33" s="11" t="s">
        <v>53</v>
      </c>
      <c r="P33" s="11" t="s">
        <v>122</v>
      </c>
      <c r="Q33" s="13">
        <v>86.304000000000002</v>
      </c>
      <c r="R33" s="11">
        <v>6</v>
      </c>
      <c r="S33" s="16">
        <v>0.2</v>
      </c>
      <c r="T33" s="13">
        <v>9.7091999999999992</v>
      </c>
      <c r="U33" s="1" t="str">
        <f t="shared" si="1"/>
        <v>Profit</v>
      </c>
      <c r="V33" s="1" t="str">
        <f t="shared" si="2"/>
        <v>Low</v>
      </c>
      <c r="AA33" s="11"/>
    </row>
    <row r="34" spans="1:27" x14ac:dyDescent="0.35">
      <c r="A34" s="11">
        <v>33</v>
      </c>
      <c r="B34" s="10">
        <v>41169</v>
      </c>
      <c r="C34" s="11">
        <v>2012</v>
      </c>
      <c r="D34" s="12" t="s">
        <v>108</v>
      </c>
      <c r="E34" s="10">
        <v>41173</v>
      </c>
      <c r="F34" s="11">
        <f t="shared" si="0"/>
        <v>4</v>
      </c>
      <c r="G34" s="11" t="s">
        <v>42</v>
      </c>
      <c r="H34" s="11" t="s">
        <v>116</v>
      </c>
      <c r="I34" s="11" t="s">
        <v>23</v>
      </c>
      <c r="J34" s="11" t="s">
        <v>890</v>
      </c>
      <c r="K34" s="11" t="s">
        <v>104</v>
      </c>
      <c r="L34" s="11" t="s">
        <v>105</v>
      </c>
      <c r="M34" s="11" t="s">
        <v>106</v>
      </c>
      <c r="N34" s="11" t="s">
        <v>38</v>
      </c>
      <c r="O34" s="11" t="s">
        <v>58</v>
      </c>
      <c r="P34" s="11" t="s">
        <v>123</v>
      </c>
      <c r="Q34" s="13">
        <v>6.8579999999999997</v>
      </c>
      <c r="R34" s="11">
        <v>6</v>
      </c>
      <c r="S34" s="16">
        <v>0.7</v>
      </c>
      <c r="T34" s="13">
        <v>-5.7149999999999999</v>
      </c>
      <c r="U34" s="1" t="str">
        <f t="shared" si="1"/>
        <v>Loss</v>
      </c>
      <c r="V34" s="1" t="str">
        <f t="shared" si="2"/>
        <v>Low</v>
      </c>
      <c r="AA34" s="11"/>
    </row>
    <row r="35" spans="1:27" x14ac:dyDescent="0.35">
      <c r="A35" s="11">
        <v>34</v>
      </c>
      <c r="B35" s="10">
        <v>41169</v>
      </c>
      <c r="C35" s="11">
        <v>2012</v>
      </c>
      <c r="D35" s="12" t="s">
        <v>108</v>
      </c>
      <c r="E35" s="10">
        <v>41173</v>
      </c>
      <c r="F35" s="11">
        <f t="shared" si="0"/>
        <v>4</v>
      </c>
      <c r="G35" s="11" t="s">
        <v>42</v>
      </c>
      <c r="H35" s="11" t="s">
        <v>116</v>
      </c>
      <c r="I35" s="11" t="s">
        <v>23</v>
      </c>
      <c r="J35" s="11" t="s">
        <v>890</v>
      </c>
      <c r="K35" s="11" t="s">
        <v>104</v>
      </c>
      <c r="L35" s="11" t="s">
        <v>105</v>
      </c>
      <c r="M35" s="11" t="s">
        <v>106</v>
      </c>
      <c r="N35" s="11" t="s">
        <v>38</v>
      </c>
      <c r="O35" s="11" t="s">
        <v>53</v>
      </c>
      <c r="P35" s="11" t="s">
        <v>124</v>
      </c>
      <c r="Q35" s="13">
        <v>15.76</v>
      </c>
      <c r="R35" s="11">
        <v>2</v>
      </c>
      <c r="S35" s="16">
        <v>0.2</v>
      </c>
      <c r="T35" s="13">
        <v>3.5459999999999998</v>
      </c>
      <c r="U35" s="1" t="str">
        <f t="shared" si="1"/>
        <v>Profit</v>
      </c>
      <c r="V35" s="1" t="str">
        <f t="shared" si="2"/>
        <v>Low</v>
      </c>
      <c r="AA35" s="11"/>
    </row>
    <row r="36" spans="1:27" x14ac:dyDescent="0.35">
      <c r="A36" s="11">
        <v>35</v>
      </c>
      <c r="B36" s="10">
        <v>41932</v>
      </c>
      <c r="C36" s="11">
        <v>2014</v>
      </c>
      <c r="D36" s="12" t="s">
        <v>41</v>
      </c>
      <c r="E36" s="10">
        <v>41936</v>
      </c>
      <c r="F36" s="11">
        <f t="shared" si="0"/>
        <v>4</v>
      </c>
      <c r="G36" s="11" t="s">
        <v>21</v>
      </c>
      <c r="H36" s="11" t="s">
        <v>125</v>
      </c>
      <c r="I36" s="11" t="s">
        <v>76</v>
      </c>
      <c r="J36" s="11" t="s">
        <v>890</v>
      </c>
      <c r="K36" s="11" t="s">
        <v>126</v>
      </c>
      <c r="L36" s="11" t="s">
        <v>78</v>
      </c>
      <c r="M36" s="11" t="s">
        <v>79</v>
      </c>
      <c r="N36" s="11" t="s">
        <v>38</v>
      </c>
      <c r="O36" s="11" t="s">
        <v>68</v>
      </c>
      <c r="P36" s="11" t="s">
        <v>127</v>
      </c>
      <c r="Q36" s="13">
        <v>29.472000000000001</v>
      </c>
      <c r="R36" s="11">
        <v>3</v>
      </c>
      <c r="S36" s="16">
        <v>0.2</v>
      </c>
      <c r="T36" s="13">
        <v>9.9467999999999996</v>
      </c>
      <c r="U36" s="1" t="str">
        <f t="shared" si="1"/>
        <v>Profit</v>
      </c>
      <c r="V36" s="1" t="str">
        <f t="shared" si="2"/>
        <v>Low</v>
      </c>
      <c r="AA36" s="11"/>
    </row>
    <row r="37" spans="1:27" x14ac:dyDescent="0.35">
      <c r="A37" s="11">
        <v>36</v>
      </c>
      <c r="B37" s="10">
        <v>41617</v>
      </c>
      <c r="C37" s="11">
        <v>2013</v>
      </c>
      <c r="D37" s="12" t="s">
        <v>70</v>
      </c>
      <c r="E37" s="10">
        <v>41619</v>
      </c>
      <c r="F37" s="11">
        <f t="shared" si="0"/>
        <v>2</v>
      </c>
      <c r="G37" s="11" t="s">
        <v>128</v>
      </c>
      <c r="H37" s="11" t="s">
        <v>129</v>
      </c>
      <c r="I37" s="11" t="s">
        <v>34</v>
      </c>
      <c r="J37" s="11" t="s">
        <v>890</v>
      </c>
      <c r="K37" s="11" t="s">
        <v>130</v>
      </c>
      <c r="L37" s="11" t="s">
        <v>78</v>
      </c>
      <c r="M37" s="11" t="s">
        <v>79</v>
      </c>
      <c r="N37" s="11" t="s">
        <v>55</v>
      </c>
      <c r="O37" s="11" t="s">
        <v>56</v>
      </c>
      <c r="P37" s="11" t="s">
        <v>131</v>
      </c>
      <c r="Q37" s="13">
        <v>1097.5440000000001</v>
      </c>
      <c r="R37" s="11">
        <v>7</v>
      </c>
      <c r="S37" s="16">
        <v>0.2</v>
      </c>
      <c r="T37" s="13">
        <v>123.47369999999999</v>
      </c>
      <c r="U37" s="1" t="str">
        <f t="shared" si="1"/>
        <v>Profit</v>
      </c>
      <c r="V37" s="1" t="str">
        <f t="shared" si="2"/>
        <v>High</v>
      </c>
      <c r="W37" s="11"/>
      <c r="X37" s="11"/>
      <c r="Y37" s="11"/>
      <c r="Z37" s="11"/>
      <c r="AA37" s="11"/>
    </row>
    <row r="38" spans="1:27" x14ac:dyDescent="0.35">
      <c r="A38" s="11">
        <v>37</v>
      </c>
      <c r="B38" s="10">
        <v>41617</v>
      </c>
      <c r="C38" s="11">
        <v>2013</v>
      </c>
      <c r="D38" s="12" t="s">
        <v>70</v>
      </c>
      <c r="E38" s="10">
        <v>41619</v>
      </c>
      <c r="F38" s="11">
        <f t="shared" si="0"/>
        <v>2</v>
      </c>
      <c r="G38" s="11" t="s">
        <v>128</v>
      </c>
      <c r="H38" s="11" t="s">
        <v>129</v>
      </c>
      <c r="I38" s="11" t="s">
        <v>34</v>
      </c>
      <c r="J38" s="11" t="s">
        <v>890</v>
      </c>
      <c r="K38" s="11" t="s">
        <v>130</v>
      </c>
      <c r="L38" s="11" t="s">
        <v>78</v>
      </c>
      <c r="M38" s="11" t="s">
        <v>79</v>
      </c>
      <c r="N38" s="11" t="s">
        <v>27</v>
      </c>
      <c r="O38" s="11" t="s">
        <v>51</v>
      </c>
      <c r="P38" s="11" t="s">
        <v>132</v>
      </c>
      <c r="Q38" s="13">
        <v>190.92</v>
      </c>
      <c r="R38" s="11">
        <v>5</v>
      </c>
      <c r="S38" s="16">
        <v>0.6</v>
      </c>
      <c r="T38" s="13">
        <v>-147.96299999999999</v>
      </c>
      <c r="U38" s="1" t="str">
        <f t="shared" si="1"/>
        <v>Loss</v>
      </c>
      <c r="V38" s="1" t="str">
        <f t="shared" si="2"/>
        <v>Low</v>
      </c>
      <c r="X38" s="11"/>
      <c r="Y38" s="11"/>
      <c r="Z38" s="11"/>
      <c r="AA38" s="11"/>
    </row>
    <row r="39" spans="1:27" x14ac:dyDescent="0.35">
      <c r="A39" s="11">
        <v>38</v>
      </c>
      <c r="B39" s="10">
        <v>41270</v>
      </c>
      <c r="C39" s="11">
        <v>2012</v>
      </c>
      <c r="D39" s="12" t="s">
        <v>70</v>
      </c>
      <c r="E39" s="10">
        <v>41274</v>
      </c>
      <c r="F39" s="11">
        <f t="shared" si="0"/>
        <v>4</v>
      </c>
      <c r="G39" s="11" t="s">
        <v>42</v>
      </c>
      <c r="H39" s="11" t="s">
        <v>133</v>
      </c>
      <c r="I39" s="11" t="s">
        <v>76</v>
      </c>
      <c r="J39" s="11" t="s">
        <v>890</v>
      </c>
      <c r="K39" s="11" t="s">
        <v>126</v>
      </c>
      <c r="L39" s="11" t="s">
        <v>78</v>
      </c>
      <c r="M39" s="11" t="s">
        <v>79</v>
      </c>
      <c r="N39" s="11" t="s">
        <v>38</v>
      </c>
      <c r="O39" s="11" t="s">
        <v>120</v>
      </c>
      <c r="P39" s="11" t="s">
        <v>134</v>
      </c>
      <c r="Q39" s="13">
        <v>113.328</v>
      </c>
      <c r="R39" s="11">
        <v>9</v>
      </c>
      <c r="S39" s="16">
        <v>0.2</v>
      </c>
      <c r="T39" s="13">
        <v>35.414999999999999</v>
      </c>
      <c r="U39" s="1" t="str">
        <f t="shared" si="1"/>
        <v>Profit</v>
      </c>
      <c r="V39" s="1" t="str">
        <f t="shared" si="2"/>
        <v>Low</v>
      </c>
      <c r="X39" s="11"/>
      <c r="Y39" s="11"/>
      <c r="Z39" s="11"/>
    </row>
    <row r="40" spans="1:27" x14ac:dyDescent="0.35">
      <c r="A40" s="11">
        <v>39</v>
      </c>
      <c r="B40" s="10">
        <v>41270</v>
      </c>
      <c r="C40" s="11">
        <v>2012</v>
      </c>
      <c r="D40" s="12" t="s">
        <v>70</v>
      </c>
      <c r="E40" s="10">
        <v>41274</v>
      </c>
      <c r="F40" s="11">
        <f t="shared" si="0"/>
        <v>4</v>
      </c>
      <c r="G40" s="11" t="s">
        <v>42</v>
      </c>
      <c r="H40" s="11" t="s">
        <v>133</v>
      </c>
      <c r="I40" s="11" t="s">
        <v>76</v>
      </c>
      <c r="J40" s="11" t="s">
        <v>890</v>
      </c>
      <c r="K40" s="11" t="s">
        <v>126</v>
      </c>
      <c r="L40" s="11" t="s">
        <v>78</v>
      </c>
      <c r="M40" s="11" t="s">
        <v>79</v>
      </c>
      <c r="N40" s="11" t="s">
        <v>27</v>
      </c>
      <c r="O40" s="11" t="s">
        <v>28</v>
      </c>
      <c r="P40" s="11" t="s">
        <v>135</v>
      </c>
      <c r="Q40" s="13">
        <v>532.39919999999995</v>
      </c>
      <c r="R40" s="11">
        <v>3</v>
      </c>
      <c r="S40" s="16">
        <v>0.32</v>
      </c>
      <c r="T40" s="13">
        <v>-46.976399999999998</v>
      </c>
      <c r="U40" s="1" t="str">
        <f t="shared" si="1"/>
        <v>Loss</v>
      </c>
      <c r="V40" s="1" t="str">
        <f t="shared" si="2"/>
        <v>Medium</v>
      </c>
    </row>
    <row r="41" spans="1:27" x14ac:dyDescent="0.35">
      <c r="A41" s="11">
        <v>40</v>
      </c>
      <c r="B41" s="10">
        <v>41270</v>
      </c>
      <c r="C41" s="11">
        <v>2012</v>
      </c>
      <c r="D41" s="12" t="s">
        <v>70</v>
      </c>
      <c r="E41" s="10">
        <v>41274</v>
      </c>
      <c r="F41" s="11">
        <f t="shared" si="0"/>
        <v>4</v>
      </c>
      <c r="G41" s="11" t="s">
        <v>42</v>
      </c>
      <c r="H41" s="11" t="s">
        <v>133</v>
      </c>
      <c r="I41" s="11" t="s">
        <v>76</v>
      </c>
      <c r="J41" s="11" t="s">
        <v>890</v>
      </c>
      <c r="K41" s="11" t="s">
        <v>126</v>
      </c>
      <c r="L41" s="11" t="s">
        <v>78</v>
      </c>
      <c r="M41" s="11" t="s">
        <v>79</v>
      </c>
      <c r="N41" s="11" t="s">
        <v>27</v>
      </c>
      <c r="O41" s="11" t="s">
        <v>30</v>
      </c>
      <c r="P41" s="11" t="s">
        <v>136</v>
      </c>
      <c r="Q41" s="13">
        <v>212.05799999999999</v>
      </c>
      <c r="R41" s="11">
        <v>3</v>
      </c>
      <c r="S41" s="16">
        <v>0.3</v>
      </c>
      <c r="T41" s="13">
        <v>-15.147</v>
      </c>
      <c r="U41" s="1" t="str">
        <f t="shared" si="1"/>
        <v>Loss</v>
      </c>
      <c r="V41" s="1" t="str">
        <f t="shared" si="2"/>
        <v>Low</v>
      </c>
    </row>
    <row r="42" spans="1:27" x14ac:dyDescent="0.35">
      <c r="A42" s="11">
        <v>41</v>
      </c>
      <c r="B42" s="10">
        <v>41270</v>
      </c>
      <c r="C42" s="11">
        <v>2012</v>
      </c>
      <c r="D42" s="12" t="s">
        <v>70</v>
      </c>
      <c r="E42" s="10">
        <v>41274</v>
      </c>
      <c r="F42" s="11">
        <f t="shared" si="0"/>
        <v>4</v>
      </c>
      <c r="G42" s="11" t="s">
        <v>42</v>
      </c>
      <c r="H42" s="11" t="s">
        <v>133</v>
      </c>
      <c r="I42" s="11" t="s">
        <v>76</v>
      </c>
      <c r="J42" s="11" t="s">
        <v>890</v>
      </c>
      <c r="K42" s="11" t="s">
        <v>126</v>
      </c>
      <c r="L42" s="11" t="s">
        <v>78</v>
      </c>
      <c r="M42" s="11" t="s">
        <v>79</v>
      </c>
      <c r="N42" s="11" t="s">
        <v>55</v>
      </c>
      <c r="O42" s="11" t="s">
        <v>56</v>
      </c>
      <c r="P42" s="11" t="s">
        <v>137</v>
      </c>
      <c r="Q42" s="13">
        <v>371.16800000000001</v>
      </c>
      <c r="R42" s="11">
        <v>4</v>
      </c>
      <c r="S42" s="16">
        <v>0.2</v>
      </c>
      <c r="T42" s="13">
        <v>41.756399999999999</v>
      </c>
      <c r="U42" s="1" t="str">
        <f t="shared" si="1"/>
        <v>Profit</v>
      </c>
      <c r="V42" s="1" t="str">
        <f t="shared" si="2"/>
        <v>Low</v>
      </c>
    </row>
    <row r="43" spans="1:27" x14ac:dyDescent="0.35">
      <c r="A43" s="11">
        <v>42</v>
      </c>
      <c r="B43" s="10">
        <v>41893</v>
      </c>
      <c r="C43" s="11">
        <v>2014</v>
      </c>
      <c r="D43" s="12" t="s">
        <v>108</v>
      </c>
      <c r="E43" s="10">
        <v>41898</v>
      </c>
      <c r="F43" s="11">
        <f t="shared" si="0"/>
        <v>5</v>
      </c>
      <c r="G43" s="11" t="s">
        <v>42</v>
      </c>
      <c r="H43" s="11" t="s">
        <v>138</v>
      </c>
      <c r="I43" s="11" t="s">
        <v>34</v>
      </c>
      <c r="J43" s="11" t="s">
        <v>890</v>
      </c>
      <c r="K43" s="11" t="s">
        <v>139</v>
      </c>
      <c r="L43" s="11" t="s">
        <v>140</v>
      </c>
      <c r="M43" s="11" t="s">
        <v>79</v>
      </c>
      <c r="N43" s="11" t="s">
        <v>55</v>
      </c>
      <c r="O43" s="11" t="s">
        <v>56</v>
      </c>
      <c r="P43" s="11" t="s">
        <v>141</v>
      </c>
      <c r="Q43" s="13">
        <v>147.16800000000001</v>
      </c>
      <c r="R43" s="11">
        <v>4</v>
      </c>
      <c r="S43" s="16">
        <v>0.2</v>
      </c>
      <c r="T43" s="13">
        <v>16.5564</v>
      </c>
      <c r="U43" s="1" t="str">
        <f t="shared" si="1"/>
        <v>Profit</v>
      </c>
      <c r="V43" s="1" t="str">
        <f t="shared" si="2"/>
        <v>Low</v>
      </c>
    </row>
    <row r="44" spans="1:27" x14ac:dyDescent="0.35">
      <c r="A44" s="11">
        <v>43</v>
      </c>
      <c r="B44" s="10">
        <v>41473</v>
      </c>
      <c r="C44" s="11">
        <v>2013</v>
      </c>
      <c r="D44" s="12" t="s">
        <v>102</v>
      </c>
      <c r="E44" s="10">
        <v>41478</v>
      </c>
      <c r="F44" s="11">
        <f t="shared" si="0"/>
        <v>5</v>
      </c>
      <c r="G44" s="11" t="s">
        <v>42</v>
      </c>
      <c r="H44" s="11" t="s">
        <v>142</v>
      </c>
      <c r="I44" s="11" t="s">
        <v>34</v>
      </c>
      <c r="J44" s="11" t="s">
        <v>890</v>
      </c>
      <c r="K44" s="11" t="s">
        <v>35</v>
      </c>
      <c r="L44" s="11" t="s">
        <v>36</v>
      </c>
      <c r="M44" s="11" t="s">
        <v>37</v>
      </c>
      <c r="N44" s="11" t="s">
        <v>38</v>
      </c>
      <c r="O44" s="11" t="s">
        <v>48</v>
      </c>
      <c r="P44" s="11" t="s">
        <v>143</v>
      </c>
      <c r="Q44" s="13">
        <v>77.88</v>
      </c>
      <c r="R44" s="11">
        <v>2</v>
      </c>
      <c r="S44" s="16">
        <v>0</v>
      </c>
      <c r="T44" s="13">
        <v>3.8940000000000001</v>
      </c>
      <c r="U44" s="1" t="str">
        <f t="shared" si="1"/>
        <v>Profit</v>
      </c>
      <c r="V44" s="1" t="str">
        <f t="shared" si="2"/>
        <v>Low</v>
      </c>
    </row>
    <row r="45" spans="1:27" x14ac:dyDescent="0.35">
      <c r="A45" s="11">
        <v>44</v>
      </c>
      <c r="B45" s="10">
        <v>41902</v>
      </c>
      <c r="C45" s="11">
        <v>2014</v>
      </c>
      <c r="D45" s="12" t="s">
        <v>108</v>
      </c>
      <c r="E45" s="10">
        <v>41906</v>
      </c>
      <c r="F45" s="11">
        <f t="shared" si="0"/>
        <v>4</v>
      </c>
      <c r="G45" s="11" t="s">
        <v>42</v>
      </c>
      <c r="H45" s="11" t="s">
        <v>144</v>
      </c>
      <c r="I45" s="11" t="s">
        <v>34</v>
      </c>
      <c r="J45" s="11" t="s">
        <v>890</v>
      </c>
      <c r="K45" s="11" t="s">
        <v>145</v>
      </c>
      <c r="L45" s="11" t="s">
        <v>45</v>
      </c>
      <c r="M45" s="11" t="s">
        <v>26</v>
      </c>
      <c r="N45" s="11" t="s">
        <v>38</v>
      </c>
      <c r="O45" s="11" t="s">
        <v>48</v>
      </c>
      <c r="P45" s="11" t="s">
        <v>146</v>
      </c>
      <c r="Q45" s="13">
        <v>95.616</v>
      </c>
      <c r="R45" s="11">
        <v>2</v>
      </c>
      <c r="S45" s="16">
        <v>0.2</v>
      </c>
      <c r="T45" s="13">
        <v>9.5616000000000003</v>
      </c>
      <c r="U45" s="1" t="str">
        <f t="shared" si="1"/>
        <v>Profit</v>
      </c>
      <c r="V45" s="1" t="str">
        <f t="shared" si="2"/>
        <v>Low</v>
      </c>
    </row>
    <row r="46" spans="1:27" x14ac:dyDescent="0.35">
      <c r="A46" s="11">
        <v>45</v>
      </c>
      <c r="B46" s="10">
        <v>41345</v>
      </c>
      <c r="C46" s="11">
        <v>2013</v>
      </c>
      <c r="D46" s="12" t="s">
        <v>147</v>
      </c>
      <c r="E46" s="10">
        <v>41347</v>
      </c>
      <c r="F46" s="11">
        <f t="shared" si="0"/>
        <v>2</v>
      </c>
      <c r="G46" s="11" t="s">
        <v>128</v>
      </c>
      <c r="H46" s="11" t="s">
        <v>148</v>
      </c>
      <c r="I46" s="11" t="s">
        <v>34</v>
      </c>
      <c r="J46" s="11" t="s">
        <v>890</v>
      </c>
      <c r="K46" s="11" t="s">
        <v>149</v>
      </c>
      <c r="L46" s="11" t="s">
        <v>150</v>
      </c>
      <c r="M46" s="11" t="s">
        <v>79</v>
      </c>
      <c r="N46" s="11" t="s">
        <v>55</v>
      </c>
      <c r="O46" s="11" t="s">
        <v>114</v>
      </c>
      <c r="P46" s="11" t="s">
        <v>151</v>
      </c>
      <c r="Q46" s="13">
        <v>45.98</v>
      </c>
      <c r="R46" s="11">
        <v>2</v>
      </c>
      <c r="S46" s="16">
        <v>0</v>
      </c>
      <c r="T46" s="13">
        <v>19.7714</v>
      </c>
      <c r="U46" s="1" t="str">
        <f t="shared" si="1"/>
        <v>Profit</v>
      </c>
      <c r="V46" s="1" t="str">
        <f t="shared" si="2"/>
        <v>Low</v>
      </c>
    </row>
    <row r="47" spans="1:27" x14ac:dyDescent="0.35">
      <c r="A47" s="11">
        <v>46</v>
      </c>
      <c r="B47" s="10">
        <v>41345</v>
      </c>
      <c r="C47" s="11">
        <v>2013</v>
      </c>
      <c r="D47" s="12" t="s">
        <v>147</v>
      </c>
      <c r="E47" s="10">
        <v>41347</v>
      </c>
      <c r="F47" s="11">
        <f t="shared" si="0"/>
        <v>2</v>
      </c>
      <c r="G47" s="11" t="s">
        <v>128</v>
      </c>
      <c r="H47" s="11" t="s">
        <v>148</v>
      </c>
      <c r="I47" s="11" t="s">
        <v>34</v>
      </c>
      <c r="J47" s="11" t="s">
        <v>890</v>
      </c>
      <c r="K47" s="11" t="s">
        <v>149</v>
      </c>
      <c r="L47" s="11" t="s">
        <v>150</v>
      </c>
      <c r="M47" s="11" t="s">
        <v>79</v>
      </c>
      <c r="N47" s="11" t="s">
        <v>38</v>
      </c>
      <c r="O47" s="11" t="s">
        <v>58</v>
      </c>
      <c r="P47" s="11" t="s">
        <v>152</v>
      </c>
      <c r="Q47" s="13">
        <v>17.46</v>
      </c>
      <c r="R47" s="11">
        <v>2</v>
      </c>
      <c r="S47" s="16">
        <v>0</v>
      </c>
      <c r="T47" s="13">
        <v>8.2062000000000008</v>
      </c>
      <c r="U47" s="1" t="str">
        <f t="shared" si="1"/>
        <v>Profit</v>
      </c>
      <c r="V47" s="1" t="str">
        <f t="shared" si="2"/>
        <v>Low</v>
      </c>
    </row>
    <row r="48" spans="1:27" x14ac:dyDescent="0.35">
      <c r="A48" s="11">
        <v>47</v>
      </c>
      <c r="B48" s="10">
        <v>40836</v>
      </c>
      <c r="C48" s="11">
        <v>2011</v>
      </c>
      <c r="D48" s="12" t="s">
        <v>41</v>
      </c>
      <c r="E48" s="10">
        <v>40841</v>
      </c>
      <c r="F48" s="11">
        <f t="shared" si="0"/>
        <v>5</v>
      </c>
      <c r="G48" s="11" t="s">
        <v>21</v>
      </c>
      <c r="H48" s="11" t="s">
        <v>153</v>
      </c>
      <c r="I48" s="11" t="s">
        <v>23</v>
      </c>
      <c r="J48" s="11" t="s">
        <v>890</v>
      </c>
      <c r="K48" s="11" t="s">
        <v>154</v>
      </c>
      <c r="L48" s="11" t="s">
        <v>155</v>
      </c>
      <c r="M48" s="11" t="s">
        <v>79</v>
      </c>
      <c r="N48" s="11" t="s">
        <v>38</v>
      </c>
      <c r="O48" s="11" t="s">
        <v>48</v>
      </c>
      <c r="P48" s="11" t="s">
        <v>156</v>
      </c>
      <c r="Q48" s="13">
        <v>211.96</v>
      </c>
      <c r="R48" s="11">
        <v>4</v>
      </c>
      <c r="S48" s="16">
        <v>0</v>
      </c>
      <c r="T48" s="13">
        <v>8.4784000000000006</v>
      </c>
      <c r="U48" s="1" t="str">
        <f t="shared" si="1"/>
        <v>Profit</v>
      </c>
      <c r="V48" s="1" t="str">
        <f t="shared" si="2"/>
        <v>Low</v>
      </c>
    </row>
    <row r="49" spans="1:22" x14ac:dyDescent="0.35">
      <c r="A49" s="11">
        <v>48</v>
      </c>
      <c r="B49" s="10">
        <v>41446</v>
      </c>
      <c r="C49" s="11">
        <v>2013</v>
      </c>
      <c r="D49" s="12" t="s">
        <v>32</v>
      </c>
      <c r="E49" s="10">
        <v>41451</v>
      </c>
      <c r="F49" s="11">
        <f t="shared" si="0"/>
        <v>5</v>
      </c>
      <c r="G49" s="11" t="s">
        <v>42</v>
      </c>
      <c r="H49" s="11" t="s">
        <v>157</v>
      </c>
      <c r="I49" s="11" t="s">
        <v>23</v>
      </c>
      <c r="J49" s="11" t="s">
        <v>890</v>
      </c>
      <c r="K49" s="11" t="s">
        <v>158</v>
      </c>
      <c r="L49" s="11" t="s">
        <v>159</v>
      </c>
      <c r="M49" s="11" t="s">
        <v>106</v>
      </c>
      <c r="N49" s="11" t="s">
        <v>55</v>
      </c>
      <c r="O49" s="11" t="s">
        <v>114</v>
      </c>
      <c r="P49" s="11" t="s">
        <v>160</v>
      </c>
      <c r="Q49" s="13">
        <v>45</v>
      </c>
      <c r="R49" s="11">
        <v>3</v>
      </c>
      <c r="S49" s="16">
        <v>0</v>
      </c>
      <c r="T49" s="13">
        <v>4.95</v>
      </c>
      <c r="U49" s="1" t="str">
        <f t="shared" si="1"/>
        <v>Profit</v>
      </c>
      <c r="V49" s="1" t="str">
        <f t="shared" si="2"/>
        <v>Low</v>
      </c>
    </row>
    <row r="50" spans="1:22" x14ac:dyDescent="0.35">
      <c r="A50" s="11">
        <v>49</v>
      </c>
      <c r="B50" s="10">
        <v>41446</v>
      </c>
      <c r="C50" s="11">
        <v>2013</v>
      </c>
      <c r="D50" s="12" t="s">
        <v>32</v>
      </c>
      <c r="E50" s="10">
        <v>41451</v>
      </c>
      <c r="F50" s="11">
        <f t="shared" si="0"/>
        <v>5</v>
      </c>
      <c r="G50" s="11" t="s">
        <v>42</v>
      </c>
      <c r="H50" s="11" t="s">
        <v>157</v>
      </c>
      <c r="I50" s="11" t="s">
        <v>23</v>
      </c>
      <c r="J50" s="11" t="s">
        <v>890</v>
      </c>
      <c r="K50" s="11" t="s">
        <v>158</v>
      </c>
      <c r="L50" s="11" t="s">
        <v>159</v>
      </c>
      <c r="M50" s="11" t="s">
        <v>106</v>
      </c>
      <c r="N50" s="11" t="s">
        <v>55</v>
      </c>
      <c r="O50" s="11" t="s">
        <v>56</v>
      </c>
      <c r="P50" s="11" t="s">
        <v>161</v>
      </c>
      <c r="Q50" s="13">
        <v>21.8</v>
      </c>
      <c r="R50" s="11">
        <v>2</v>
      </c>
      <c r="S50" s="16">
        <v>0</v>
      </c>
      <c r="T50" s="13">
        <v>6.1040000000000001</v>
      </c>
      <c r="U50" s="1" t="str">
        <f t="shared" si="1"/>
        <v>Profit</v>
      </c>
      <c r="V50" s="1" t="str">
        <f t="shared" si="2"/>
        <v>Low</v>
      </c>
    </row>
    <row r="51" spans="1:22" x14ac:dyDescent="0.35">
      <c r="A51" s="11">
        <v>50</v>
      </c>
      <c r="B51" s="10">
        <v>41017</v>
      </c>
      <c r="C51" s="11">
        <v>2012</v>
      </c>
      <c r="D51" s="12" t="s">
        <v>64</v>
      </c>
      <c r="E51" s="10">
        <v>41021</v>
      </c>
      <c r="F51" s="11">
        <f t="shared" si="0"/>
        <v>4</v>
      </c>
      <c r="G51" s="11" t="s">
        <v>42</v>
      </c>
      <c r="H51" s="11" t="s">
        <v>162</v>
      </c>
      <c r="I51" s="11" t="s">
        <v>23</v>
      </c>
      <c r="J51" s="11" t="s">
        <v>890</v>
      </c>
      <c r="K51" s="11" t="s">
        <v>163</v>
      </c>
      <c r="L51" s="11" t="s">
        <v>164</v>
      </c>
      <c r="M51" s="11" t="s">
        <v>79</v>
      </c>
      <c r="N51" s="11" t="s">
        <v>38</v>
      </c>
      <c r="O51" s="11" t="s">
        <v>58</v>
      </c>
      <c r="P51" s="11" t="s">
        <v>165</v>
      </c>
      <c r="Q51" s="13">
        <v>38.22</v>
      </c>
      <c r="R51" s="11">
        <v>6</v>
      </c>
      <c r="S51" s="16">
        <v>0</v>
      </c>
      <c r="T51" s="13">
        <v>17.9634</v>
      </c>
      <c r="U51" s="1" t="str">
        <f t="shared" si="1"/>
        <v>Profit</v>
      </c>
      <c r="V51" s="1" t="str">
        <f t="shared" si="2"/>
        <v>Low</v>
      </c>
    </row>
    <row r="52" spans="1:22" x14ac:dyDescent="0.35">
      <c r="A52" s="11">
        <v>51</v>
      </c>
      <c r="B52" s="10">
        <v>41017</v>
      </c>
      <c r="C52" s="11">
        <v>2012</v>
      </c>
      <c r="D52" s="12" t="s">
        <v>64</v>
      </c>
      <c r="E52" s="10">
        <v>41021</v>
      </c>
      <c r="F52" s="11">
        <f t="shared" si="0"/>
        <v>4</v>
      </c>
      <c r="G52" s="11" t="s">
        <v>42</v>
      </c>
      <c r="H52" s="11" t="s">
        <v>162</v>
      </c>
      <c r="I52" s="11" t="s">
        <v>23</v>
      </c>
      <c r="J52" s="11" t="s">
        <v>890</v>
      </c>
      <c r="K52" s="11" t="s">
        <v>163</v>
      </c>
      <c r="L52" s="11" t="s">
        <v>164</v>
      </c>
      <c r="M52" s="11" t="s">
        <v>79</v>
      </c>
      <c r="N52" s="11" t="s">
        <v>38</v>
      </c>
      <c r="O52" s="11" t="s">
        <v>39</v>
      </c>
      <c r="P52" s="11" t="s">
        <v>166</v>
      </c>
      <c r="Q52" s="13">
        <v>75.180000000000007</v>
      </c>
      <c r="R52" s="11">
        <v>6</v>
      </c>
      <c r="S52" s="16">
        <v>0</v>
      </c>
      <c r="T52" s="13">
        <v>35.334600000000002</v>
      </c>
      <c r="U52" s="1" t="str">
        <f t="shared" si="1"/>
        <v>Profit</v>
      </c>
      <c r="V52" s="1" t="str">
        <f t="shared" si="2"/>
        <v>Low</v>
      </c>
    </row>
    <row r="53" spans="1:22" x14ac:dyDescent="0.35">
      <c r="A53" s="11">
        <v>52</v>
      </c>
      <c r="B53" s="10">
        <v>41017</v>
      </c>
      <c r="C53" s="11">
        <v>2012</v>
      </c>
      <c r="D53" s="12" t="s">
        <v>64</v>
      </c>
      <c r="E53" s="10">
        <v>41021</v>
      </c>
      <c r="F53" s="11">
        <f t="shared" si="0"/>
        <v>4</v>
      </c>
      <c r="G53" s="11" t="s">
        <v>42</v>
      </c>
      <c r="H53" s="11" t="s">
        <v>162</v>
      </c>
      <c r="I53" s="11" t="s">
        <v>23</v>
      </c>
      <c r="J53" s="11" t="s">
        <v>890</v>
      </c>
      <c r="K53" s="11" t="s">
        <v>163</v>
      </c>
      <c r="L53" s="11" t="s">
        <v>164</v>
      </c>
      <c r="M53" s="11" t="s">
        <v>79</v>
      </c>
      <c r="N53" s="11" t="s">
        <v>27</v>
      </c>
      <c r="O53" s="11" t="s">
        <v>51</v>
      </c>
      <c r="P53" s="11" t="s">
        <v>167</v>
      </c>
      <c r="Q53" s="13">
        <v>6.16</v>
      </c>
      <c r="R53" s="11">
        <v>2</v>
      </c>
      <c r="S53" s="16">
        <v>0</v>
      </c>
      <c r="T53" s="13">
        <v>2.9567999999999999</v>
      </c>
      <c r="U53" s="1" t="str">
        <f t="shared" si="1"/>
        <v>Profit</v>
      </c>
      <c r="V53" s="1" t="str">
        <f t="shared" si="2"/>
        <v>Low</v>
      </c>
    </row>
    <row r="54" spans="1:22" x14ac:dyDescent="0.35">
      <c r="A54" s="11">
        <v>53</v>
      </c>
      <c r="B54" s="10">
        <v>41017</v>
      </c>
      <c r="C54" s="11">
        <v>2012</v>
      </c>
      <c r="D54" s="12" t="s">
        <v>64</v>
      </c>
      <c r="E54" s="10">
        <v>41021</v>
      </c>
      <c r="F54" s="11">
        <f t="shared" si="0"/>
        <v>4</v>
      </c>
      <c r="G54" s="11" t="s">
        <v>42</v>
      </c>
      <c r="H54" s="11" t="s">
        <v>162</v>
      </c>
      <c r="I54" s="11" t="s">
        <v>23</v>
      </c>
      <c r="J54" s="11" t="s">
        <v>890</v>
      </c>
      <c r="K54" s="11" t="s">
        <v>163</v>
      </c>
      <c r="L54" s="11" t="s">
        <v>164</v>
      </c>
      <c r="M54" s="11" t="s">
        <v>79</v>
      </c>
      <c r="N54" s="11" t="s">
        <v>27</v>
      </c>
      <c r="O54" s="11" t="s">
        <v>30</v>
      </c>
      <c r="P54" s="11" t="s">
        <v>168</v>
      </c>
      <c r="Q54" s="13">
        <v>89.99</v>
      </c>
      <c r="R54" s="11">
        <v>1</v>
      </c>
      <c r="S54" s="16">
        <v>0</v>
      </c>
      <c r="T54" s="13">
        <v>17.098099999999999</v>
      </c>
      <c r="U54" s="1" t="str">
        <f t="shared" si="1"/>
        <v>Profit</v>
      </c>
      <c r="V54" s="1" t="str">
        <f t="shared" si="2"/>
        <v>Low</v>
      </c>
    </row>
    <row r="55" spans="1:22" x14ac:dyDescent="0.35">
      <c r="A55" s="11">
        <v>54</v>
      </c>
      <c r="B55" s="10">
        <v>41620</v>
      </c>
      <c r="C55" s="11">
        <v>2013</v>
      </c>
      <c r="D55" s="12" t="s">
        <v>70</v>
      </c>
      <c r="E55" s="10">
        <v>41626</v>
      </c>
      <c r="F55" s="11">
        <f t="shared" si="0"/>
        <v>6</v>
      </c>
      <c r="G55" s="11" t="s">
        <v>42</v>
      </c>
      <c r="H55" s="11" t="s">
        <v>169</v>
      </c>
      <c r="I55" s="11" t="s">
        <v>34</v>
      </c>
      <c r="J55" s="11" t="s">
        <v>890</v>
      </c>
      <c r="K55" s="11" t="s">
        <v>170</v>
      </c>
      <c r="L55" s="11" t="s">
        <v>171</v>
      </c>
      <c r="M55" s="11" t="s">
        <v>106</v>
      </c>
      <c r="N55" s="11" t="s">
        <v>38</v>
      </c>
      <c r="O55" s="11" t="s">
        <v>172</v>
      </c>
      <c r="P55" s="11" t="s">
        <v>173</v>
      </c>
      <c r="Q55" s="13">
        <v>15.26</v>
      </c>
      <c r="R55" s="11">
        <v>7</v>
      </c>
      <c r="S55" s="16">
        <v>0</v>
      </c>
      <c r="T55" s="13">
        <v>6.2565999999999997</v>
      </c>
      <c r="U55" s="1" t="str">
        <f t="shared" si="1"/>
        <v>Profit</v>
      </c>
      <c r="V55" s="1" t="str">
        <f t="shared" si="2"/>
        <v>Low</v>
      </c>
    </row>
    <row r="56" spans="1:22" x14ac:dyDescent="0.35">
      <c r="A56" s="11">
        <v>55</v>
      </c>
      <c r="B56" s="10">
        <v>41620</v>
      </c>
      <c r="C56" s="11">
        <v>2013</v>
      </c>
      <c r="D56" s="12" t="s">
        <v>70</v>
      </c>
      <c r="E56" s="10">
        <v>41626</v>
      </c>
      <c r="F56" s="11">
        <f t="shared" si="0"/>
        <v>6</v>
      </c>
      <c r="G56" s="11" t="s">
        <v>42</v>
      </c>
      <c r="H56" s="11" t="s">
        <v>169</v>
      </c>
      <c r="I56" s="11" t="s">
        <v>34</v>
      </c>
      <c r="J56" s="11" t="s">
        <v>890</v>
      </c>
      <c r="K56" s="11" t="s">
        <v>170</v>
      </c>
      <c r="L56" s="11" t="s">
        <v>171</v>
      </c>
      <c r="M56" s="11" t="s">
        <v>106</v>
      </c>
      <c r="N56" s="11" t="s">
        <v>55</v>
      </c>
      <c r="O56" s="11" t="s">
        <v>56</v>
      </c>
      <c r="P56" s="11" t="s">
        <v>174</v>
      </c>
      <c r="Q56" s="13">
        <v>1029.95</v>
      </c>
      <c r="R56" s="11">
        <v>5</v>
      </c>
      <c r="S56" s="16">
        <v>0</v>
      </c>
      <c r="T56" s="13">
        <v>298.68549999999999</v>
      </c>
      <c r="U56" s="1" t="str">
        <f t="shared" si="1"/>
        <v>Profit</v>
      </c>
      <c r="V56" s="1" t="str">
        <f t="shared" si="2"/>
        <v>High</v>
      </c>
    </row>
    <row r="57" spans="1:22" x14ac:dyDescent="0.35">
      <c r="A57" s="11">
        <v>56</v>
      </c>
      <c r="B57" s="10">
        <v>41443</v>
      </c>
      <c r="C57" s="11">
        <v>2013</v>
      </c>
      <c r="D57" s="12" t="s">
        <v>32</v>
      </c>
      <c r="E57" s="10">
        <v>41444</v>
      </c>
      <c r="F57" s="11">
        <f t="shared" si="0"/>
        <v>1</v>
      </c>
      <c r="G57" s="11" t="s">
        <v>128</v>
      </c>
      <c r="H57" s="11" t="s">
        <v>175</v>
      </c>
      <c r="I57" s="11" t="s">
        <v>23</v>
      </c>
      <c r="J57" s="11" t="s">
        <v>890</v>
      </c>
      <c r="K57" s="11" t="s">
        <v>176</v>
      </c>
      <c r="L57" s="11" t="s">
        <v>171</v>
      </c>
      <c r="M57" s="11" t="s">
        <v>106</v>
      </c>
      <c r="N57" s="11" t="s">
        <v>38</v>
      </c>
      <c r="O57" s="11" t="s">
        <v>48</v>
      </c>
      <c r="P57" s="11" t="s">
        <v>177</v>
      </c>
      <c r="Q57" s="13">
        <v>208.56</v>
      </c>
      <c r="R57" s="11">
        <v>6</v>
      </c>
      <c r="S57" s="16">
        <v>0</v>
      </c>
      <c r="T57" s="13">
        <v>52.14</v>
      </c>
      <c r="U57" s="1" t="str">
        <f t="shared" si="1"/>
        <v>Profit</v>
      </c>
      <c r="V57" s="1" t="str">
        <f t="shared" si="2"/>
        <v>Low</v>
      </c>
    </row>
    <row r="58" spans="1:22" x14ac:dyDescent="0.35">
      <c r="A58" s="11">
        <v>57</v>
      </c>
      <c r="B58" s="10">
        <v>41443</v>
      </c>
      <c r="C58" s="11">
        <v>2013</v>
      </c>
      <c r="D58" s="12" t="s">
        <v>32</v>
      </c>
      <c r="E58" s="10">
        <v>41444</v>
      </c>
      <c r="F58" s="11">
        <f t="shared" si="0"/>
        <v>1</v>
      </c>
      <c r="G58" s="11" t="s">
        <v>128</v>
      </c>
      <c r="H58" s="11" t="s">
        <v>175</v>
      </c>
      <c r="I58" s="11" t="s">
        <v>23</v>
      </c>
      <c r="J58" s="11" t="s">
        <v>890</v>
      </c>
      <c r="K58" s="11" t="s">
        <v>176</v>
      </c>
      <c r="L58" s="11" t="s">
        <v>171</v>
      </c>
      <c r="M58" s="11" t="s">
        <v>106</v>
      </c>
      <c r="N58" s="11" t="s">
        <v>38</v>
      </c>
      <c r="O58" s="11" t="s">
        <v>68</v>
      </c>
      <c r="P58" s="11" t="s">
        <v>178</v>
      </c>
      <c r="Q58" s="13">
        <v>32.4</v>
      </c>
      <c r="R58" s="11">
        <v>5</v>
      </c>
      <c r="S58" s="16">
        <v>0</v>
      </c>
      <c r="T58" s="13">
        <v>15.552</v>
      </c>
      <c r="U58" s="1" t="str">
        <f t="shared" si="1"/>
        <v>Profit</v>
      </c>
      <c r="V58" s="1" t="str">
        <f t="shared" si="2"/>
        <v>Low</v>
      </c>
    </row>
    <row r="59" spans="1:22" x14ac:dyDescent="0.35">
      <c r="A59" s="11">
        <v>58</v>
      </c>
      <c r="B59" s="10">
        <v>41443</v>
      </c>
      <c r="C59" s="11">
        <v>2013</v>
      </c>
      <c r="D59" s="12" t="s">
        <v>32</v>
      </c>
      <c r="E59" s="10">
        <v>41444</v>
      </c>
      <c r="F59" s="11">
        <f t="shared" si="0"/>
        <v>1</v>
      </c>
      <c r="G59" s="11" t="s">
        <v>128</v>
      </c>
      <c r="H59" s="11" t="s">
        <v>175</v>
      </c>
      <c r="I59" s="11" t="s">
        <v>23</v>
      </c>
      <c r="J59" s="11" t="s">
        <v>890</v>
      </c>
      <c r="K59" s="11" t="s">
        <v>176</v>
      </c>
      <c r="L59" s="11" t="s">
        <v>171</v>
      </c>
      <c r="M59" s="11" t="s">
        <v>106</v>
      </c>
      <c r="N59" s="11" t="s">
        <v>27</v>
      </c>
      <c r="O59" s="11" t="s">
        <v>30</v>
      </c>
      <c r="P59" s="11" t="s">
        <v>179</v>
      </c>
      <c r="Q59" s="13">
        <v>319.41000000000003</v>
      </c>
      <c r="R59" s="11">
        <v>5</v>
      </c>
      <c r="S59" s="16">
        <v>0.1</v>
      </c>
      <c r="T59" s="13">
        <v>7.0979999999999999</v>
      </c>
      <c r="U59" s="1" t="str">
        <f t="shared" si="1"/>
        <v>Profit</v>
      </c>
      <c r="V59" s="1" t="str">
        <f t="shared" si="2"/>
        <v>Low</v>
      </c>
    </row>
    <row r="60" spans="1:22" x14ac:dyDescent="0.35">
      <c r="A60" s="11">
        <v>59</v>
      </c>
      <c r="B60" s="10">
        <v>41443</v>
      </c>
      <c r="C60" s="11">
        <v>2013</v>
      </c>
      <c r="D60" s="12" t="s">
        <v>32</v>
      </c>
      <c r="E60" s="10">
        <v>41444</v>
      </c>
      <c r="F60" s="11">
        <f t="shared" si="0"/>
        <v>1</v>
      </c>
      <c r="G60" s="11" t="s">
        <v>128</v>
      </c>
      <c r="H60" s="11" t="s">
        <v>175</v>
      </c>
      <c r="I60" s="11" t="s">
        <v>23</v>
      </c>
      <c r="J60" s="11" t="s">
        <v>890</v>
      </c>
      <c r="K60" s="11" t="s">
        <v>176</v>
      </c>
      <c r="L60" s="11" t="s">
        <v>171</v>
      </c>
      <c r="M60" s="11" t="s">
        <v>106</v>
      </c>
      <c r="N60" s="11" t="s">
        <v>38</v>
      </c>
      <c r="O60" s="11" t="s">
        <v>68</v>
      </c>
      <c r="P60" s="11" t="s">
        <v>180</v>
      </c>
      <c r="Q60" s="13">
        <v>14.56</v>
      </c>
      <c r="R60" s="11">
        <v>2</v>
      </c>
      <c r="S60" s="16">
        <v>0</v>
      </c>
      <c r="T60" s="13">
        <v>6.9888000000000003</v>
      </c>
      <c r="U60" s="1" t="str">
        <f t="shared" si="1"/>
        <v>Profit</v>
      </c>
      <c r="V60" s="1" t="str">
        <f t="shared" si="2"/>
        <v>Low</v>
      </c>
    </row>
    <row r="61" spans="1:22" x14ac:dyDescent="0.35">
      <c r="A61" s="11">
        <v>60</v>
      </c>
      <c r="B61" s="10">
        <v>41443</v>
      </c>
      <c r="C61" s="11">
        <v>2013</v>
      </c>
      <c r="D61" s="12" t="s">
        <v>32</v>
      </c>
      <c r="E61" s="10">
        <v>41444</v>
      </c>
      <c r="F61" s="11">
        <f t="shared" si="0"/>
        <v>1</v>
      </c>
      <c r="G61" s="11" t="s">
        <v>128</v>
      </c>
      <c r="H61" s="11" t="s">
        <v>175</v>
      </c>
      <c r="I61" s="11" t="s">
        <v>23</v>
      </c>
      <c r="J61" s="11" t="s">
        <v>890</v>
      </c>
      <c r="K61" s="11" t="s">
        <v>176</v>
      </c>
      <c r="L61" s="11" t="s">
        <v>171</v>
      </c>
      <c r="M61" s="11" t="s">
        <v>106</v>
      </c>
      <c r="N61" s="11" t="s">
        <v>55</v>
      </c>
      <c r="O61" s="11" t="s">
        <v>114</v>
      </c>
      <c r="P61" s="11" t="s">
        <v>160</v>
      </c>
      <c r="Q61" s="13">
        <v>30</v>
      </c>
      <c r="R61" s="11">
        <v>2</v>
      </c>
      <c r="S61" s="16">
        <v>0</v>
      </c>
      <c r="T61" s="13">
        <v>3.3</v>
      </c>
      <c r="U61" s="1" t="str">
        <f t="shared" si="1"/>
        <v>Profit</v>
      </c>
      <c r="V61" s="1" t="str">
        <f t="shared" si="2"/>
        <v>Low</v>
      </c>
    </row>
    <row r="62" spans="1:22" x14ac:dyDescent="0.35">
      <c r="A62" s="11">
        <v>61</v>
      </c>
      <c r="B62" s="10">
        <v>41443</v>
      </c>
      <c r="C62" s="11">
        <v>2013</v>
      </c>
      <c r="D62" s="12" t="s">
        <v>32</v>
      </c>
      <c r="E62" s="10">
        <v>41444</v>
      </c>
      <c r="F62" s="11">
        <f t="shared" si="0"/>
        <v>1</v>
      </c>
      <c r="G62" s="11" t="s">
        <v>128</v>
      </c>
      <c r="H62" s="11" t="s">
        <v>175</v>
      </c>
      <c r="I62" s="11" t="s">
        <v>23</v>
      </c>
      <c r="J62" s="11" t="s">
        <v>890</v>
      </c>
      <c r="K62" s="11" t="s">
        <v>176</v>
      </c>
      <c r="L62" s="11" t="s">
        <v>171</v>
      </c>
      <c r="M62" s="11" t="s">
        <v>106</v>
      </c>
      <c r="N62" s="11" t="s">
        <v>38</v>
      </c>
      <c r="O62" s="11" t="s">
        <v>58</v>
      </c>
      <c r="P62" s="11" t="s">
        <v>181</v>
      </c>
      <c r="Q62" s="13">
        <v>48.48</v>
      </c>
      <c r="R62" s="11">
        <v>4</v>
      </c>
      <c r="S62" s="16">
        <v>0.2</v>
      </c>
      <c r="T62" s="13">
        <v>16.361999999999998</v>
      </c>
      <c r="U62" s="1" t="str">
        <f t="shared" si="1"/>
        <v>Profit</v>
      </c>
      <c r="V62" s="1" t="str">
        <f t="shared" si="2"/>
        <v>Low</v>
      </c>
    </row>
    <row r="63" spans="1:22" x14ac:dyDescent="0.35">
      <c r="A63" s="11">
        <v>62</v>
      </c>
      <c r="B63" s="10">
        <v>41443</v>
      </c>
      <c r="C63" s="11">
        <v>2013</v>
      </c>
      <c r="D63" s="12" t="s">
        <v>32</v>
      </c>
      <c r="E63" s="10">
        <v>41444</v>
      </c>
      <c r="F63" s="11">
        <f t="shared" si="0"/>
        <v>1</v>
      </c>
      <c r="G63" s="11" t="s">
        <v>128</v>
      </c>
      <c r="H63" s="11" t="s">
        <v>175</v>
      </c>
      <c r="I63" s="11" t="s">
        <v>23</v>
      </c>
      <c r="J63" s="11" t="s">
        <v>890</v>
      </c>
      <c r="K63" s="11" t="s">
        <v>176</v>
      </c>
      <c r="L63" s="11" t="s">
        <v>171</v>
      </c>
      <c r="M63" s="11" t="s">
        <v>106</v>
      </c>
      <c r="N63" s="11" t="s">
        <v>38</v>
      </c>
      <c r="O63" s="11" t="s">
        <v>53</v>
      </c>
      <c r="P63" s="11" t="s">
        <v>182</v>
      </c>
      <c r="Q63" s="13">
        <v>1.68</v>
      </c>
      <c r="R63" s="11">
        <v>1</v>
      </c>
      <c r="S63" s="16">
        <v>0</v>
      </c>
      <c r="T63" s="13">
        <v>0.84</v>
      </c>
      <c r="U63" s="1" t="str">
        <f t="shared" si="1"/>
        <v>Profit</v>
      </c>
      <c r="V63" s="1" t="str">
        <f t="shared" si="2"/>
        <v>Low</v>
      </c>
    </row>
    <row r="64" spans="1:22" x14ac:dyDescent="0.35">
      <c r="A64" s="11">
        <v>63</v>
      </c>
      <c r="B64" s="10">
        <v>41237</v>
      </c>
      <c r="C64" s="11">
        <v>2012</v>
      </c>
      <c r="D64" s="12" t="s">
        <v>20</v>
      </c>
      <c r="E64" s="10">
        <v>41243</v>
      </c>
      <c r="F64" s="11">
        <f t="shared" si="0"/>
        <v>6</v>
      </c>
      <c r="G64" s="11" t="s">
        <v>42</v>
      </c>
      <c r="H64" s="11" t="s">
        <v>183</v>
      </c>
      <c r="I64" s="11" t="s">
        <v>23</v>
      </c>
      <c r="J64" s="11" t="s">
        <v>890</v>
      </c>
      <c r="K64" s="11" t="s">
        <v>35</v>
      </c>
      <c r="L64" s="11" t="s">
        <v>36</v>
      </c>
      <c r="M64" s="11" t="s">
        <v>37</v>
      </c>
      <c r="N64" s="11" t="s">
        <v>55</v>
      </c>
      <c r="O64" s="11" t="s">
        <v>114</v>
      </c>
      <c r="P64" s="11" t="s">
        <v>184</v>
      </c>
      <c r="Q64" s="13">
        <v>13.98</v>
      </c>
      <c r="R64" s="11">
        <v>2</v>
      </c>
      <c r="S64" s="16">
        <v>0</v>
      </c>
      <c r="T64" s="13">
        <v>6.1512000000000002</v>
      </c>
      <c r="U64" s="1" t="str">
        <f t="shared" si="1"/>
        <v>Profit</v>
      </c>
      <c r="V64" s="1" t="str">
        <f t="shared" si="2"/>
        <v>Low</v>
      </c>
    </row>
    <row r="65" spans="1:22" x14ac:dyDescent="0.35">
      <c r="A65" s="11">
        <v>64</v>
      </c>
      <c r="B65" s="10">
        <v>41237</v>
      </c>
      <c r="C65" s="11">
        <v>2012</v>
      </c>
      <c r="D65" s="12" t="s">
        <v>20</v>
      </c>
      <c r="E65" s="10">
        <v>41243</v>
      </c>
      <c r="F65" s="11">
        <f t="shared" si="0"/>
        <v>6</v>
      </c>
      <c r="G65" s="11" t="s">
        <v>42</v>
      </c>
      <c r="H65" s="11" t="s">
        <v>183</v>
      </c>
      <c r="I65" s="11" t="s">
        <v>23</v>
      </c>
      <c r="J65" s="11" t="s">
        <v>890</v>
      </c>
      <c r="K65" s="11" t="s">
        <v>35</v>
      </c>
      <c r="L65" s="11" t="s">
        <v>36</v>
      </c>
      <c r="M65" s="11" t="s">
        <v>37</v>
      </c>
      <c r="N65" s="11" t="s">
        <v>38</v>
      </c>
      <c r="O65" s="11" t="s">
        <v>58</v>
      </c>
      <c r="P65" s="11" t="s">
        <v>185</v>
      </c>
      <c r="Q65" s="13">
        <v>25.824000000000002</v>
      </c>
      <c r="R65" s="11">
        <v>6</v>
      </c>
      <c r="S65" s="16">
        <v>0.2</v>
      </c>
      <c r="T65" s="13">
        <v>9.3612000000000002</v>
      </c>
      <c r="U65" s="1" t="str">
        <f t="shared" si="1"/>
        <v>Profit</v>
      </c>
      <c r="V65" s="1" t="str">
        <f t="shared" si="2"/>
        <v>Low</v>
      </c>
    </row>
    <row r="66" spans="1:22" x14ac:dyDescent="0.35">
      <c r="A66" s="11">
        <v>65</v>
      </c>
      <c r="B66" s="10">
        <v>41237</v>
      </c>
      <c r="C66" s="11">
        <v>2012</v>
      </c>
      <c r="D66" s="12" t="s">
        <v>20</v>
      </c>
      <c r="E66" s="10">
        <v>41243</v>
      </c>
      <c r="F66" s="11">
        <f t="shared" ref="F66:F129" si="3">_xlfn.DAYS(E66,B66)</f>
        <v>6</v>
      </c>
      <c r="G66" s="11" t="s">
        <v>42</v>
      </c>
      <c r="H66" s="11" t="s">
        <v>183</v>
      </c>
      <c r="I66" s="11" t="s">
        <v>23</v>
      </c>
      <c r="J66" s="11" t="s">
        <v>890</v>
      </c>
      <c r="K66" s="11" t="s">
        <v>35</v>
      </c>
      <c r="L66" s="11" t="s">
        <v>36</v>
      </c>
      <c r="M66" s="11" t="s">
        <v>37</v>
      </c>
      <c r="N66" s="11" t="s">
        <v>38</v>
      </c>
      <c r="O66" s="11" t="s">
        <v>68</v>
      </c>
      <c r="P66" s="11" t="s">
        <v>186</v>
      </c>
      <c r="Q66" s="13">
        <v>146.72999999999999</v>
      </c>
      <c r="R66" s="11">
        <v>3</v>
      </c>
      <c r="S66" s="16">
        <v>0</v>
      </c>
      <c r="T66" s="13">
        <v>68.963099999999997</v>
      </c>
      <c r="U66" s="1" t="str">
        <f t="shared" si="1"/>
        <v>Profit</v>
      </c>
      <c r="V66" s="1" t="str">
        <f t="shared" si="2"/>
        <v>Low</v>
      </c>
    </row>
    <row r="67" spans="1:22" x14ac:dyDescent="0.35">
      <c r="A67" s="11">
        <v>66</v>
      </c>
      <c r="B67" s="10">
        <v>41237</v>
      </c>
      <c r="C67" s="11">
        <v>2012</v>
      </c>
      <c r="D67" s="12" t="s">
        <v>20</v>
      </c>
      <c r="E67" s="10">
        <v>41243</v>
      </c>
      <c r="F67" s="11">
        <f t="shared" si="3"/>
        <v>6</v>
      </c>
      <c r="G67" s="11" t="s">
        <v>42</v>
      </c>
      <c r="H67" s="11" t="s">
        <v>183</v>
      </c>
      <c r="I67" s="11" t="s">
        <v>23</v>
      </c>
      <c r="J67" s="11" t="s">
        <v>890</v>
      </c>
      <c r="K67" s="11" t="s">
        <v>35</v>
      </c>
      <c r="L67" s="11" t="s">
        <v>36</v>
      </c>
      <c r="M67" s="11" t="s">
        <v>37</v>
      </c>
      <c r="N67" s="11" t="s">
        <v>27</v>
      </c>
      <c r="O67" s="11" t="s">
        <v>51</v>
      </c>
      <c r="P67" s="11" t="s">
        <v>187</v>
      </c>
      <c r="Q67" s="13">
        <v>79.760000000000005</v>
      </c>
      <c r="R67" s="11">
        <v>4</v>
      </c>
      <c r="S67" s="16">
        <v>0</v>
      </c>
      <c r="T67" s="13">
        <v>22.332799999999999</v>
      </c>
      <c r="U67" s="1" t="str">
        <f t="shared" ref="U67:U130" si="4">IF(T67&gt;0,"Profit","Loss")</f>
        <v>Profit</v>
      </c>
      <c r="V67" s="1" t="str">
        <f t="shared" ref="V67:V130" si="5">IF(Q67&gt;=1000,"High",IF(Q67&gt;=500,"Medium","Low"))</f>
        <v>Low</v>
      </c>
    </row>
    <row r="68" spans="1:22" x14ac:dyDescent="0.35">
      <c r="A68" s="11">
        <v>67</v>
      </c>
      <c r="B68" s="10">
        <v>41029</v>
      </c>
      <c r="C68" s="11">
        <v>2012</v>
      </c>
      <c r="D68" s="12" t="s">
        <v>64</v>
      </c>
      <c r="E68" s="10">
        <v>41034</v>
      </c>
      <c r="F68" s="11">
        <f t="shared" si="3"/>
        <v>5</v>
      </c>
      <c r="G68" s="11" t="s">
        <v>42</v>
      </c>
      <c r="H68" s="11" t="s">
        <v>188</v>
      </c>
      <c r="I68" s="11" t="s">
        <v>76</v>
      </c>
      <c r="J68" s="11" t="s">
        <v>890</v>
      </c>
      <c r="K68" s="11" t="s">
        <v>189</v>
      </c>
      <c r="L68" s="11" t="s">
        <v>140</v>
      </c>
      <c r="M68" s="11" t="s">
        <v>79</v>
      </c>
      <c r="N68" s="11" t="s">
        <v>27</v>
      </c>
      <c r="O68" s="11" t="s">
        <v>30</v>
      </c>
      <c r="P68" s="11" t="s">
        <v>190</v>
      </c>
      <c r="Q68" s="13">
        <v>213.11500000000001</v>
      </c>
      <c r="R68" s="11">
        <v>5</v>
      </c>
      <c r="S68" s="16">
        <v>0.3</v>
      </c>
      <c r="T68" s="13">
        <v>-15.2225</v>
      </c>
      <c r="U68" s="1" t="str">
        <f t="shared" si="4"/>
        <v>Loss</v>
      </c>
      <c r="V68" s="1" t="str">
        <f t="shared" si="5"/>
        <v>Low</v>
      </c>
    </row>
    <row r="69" spans="1:22" x14ac:dyDescent="0.35">
      <c r="A69" s="11">
        <v>68</v>
      </c>
      <c r="B69" s="10">
        <v>40882</v>
      </c>
      <c r="C69" s="11">
        <v>2011</v>
      </c>
      <c r="D69" s="12" t="s">
        <v>70</v>
      </c>
      <c r="E69" s="10">
        <v>40887</v>
      </c>
      <c r="F69" s="11">
        <f t="shared" si="3"/>
        <v>5</v>
      </c>
      <c r="G69" s="11" t="s">
        <v>42</v>
      </c>
      <c r="H69" s="11" t="s">
        <v>191</v>
      </c>
      <c r="I69" s="11" t="s">
        <v>34</v>
      </c>
      <c r="J69" s="11" t="s">
        <v>890</v>
      </c>
      <c r="K69" s="11" t="s">
        <v>192</v>
      </c>
      <c r="L69" s="11" t="s">
        <v>193</v>
      </c>
      <c r="M69" s="11" t="s">
        <v>37</v>
      </c>
      <c r="N69" s="11" t="s">
        <v>38</v>
      </c>
      <c r="O69" s="11" t="s">
        <v>53</v>
      </c>
      <c r="P69" s="11" t="s">
        <v>194</v>
      </c>
      <c r="Q69" s="13">
        <v>1113.0239999999999</v>
      </c>
      <c r="R69" s="11">
        <v>8</v>
      </c>
      <c r="S69" s="16">
        <v>0.2</v>
      </c>
      <c r="T69" s="13">
        <v>111.30240000000001</v>
      </c>
      <c r="U69" s="1" t="str">
        <f t="shared" si="4"/>
        <v>Profit</v>
      </c>
      <c r="V69" s="1" t="str">
        <f t="shared" si="5"/>
        <v>High</v>
      </c>
    </row>
    <row r="70" spans="1:22" x14ac:dyDescent="0.35">
      <c r="A70" s="11">
        <v>69</v>
      </c>
      <c r="B70" s="10">
        <v>40882</v>
      </c>
      <c r="C70" s="11">
        <v>2011</v>
      </c>
      <c r="D70" s="12" t="s">
        <v>70</v>
      </c>
      <c r="E70" s="10">
        <v>40887</v>
      </c>
      <c r="F70" s="11">
        <f t="shared" si="3"/>
        <v>5</v>
      </c>
      <c r="G70" s="11" t="s">
        <v>42</v>
      </c>
      <c r="H70" s="11" t="s">
        <v>191</v>
      </c>
      <c r="I70" s="11" t="s">
        <v>34</v>
      </c>
      <c r="J70" s="11" t="s">
        <v>890</v>
      </c>
      <c r="K70" s="11" t="s">
        <v>192</v>
      </c>
      <c r="L70" s="11" t="s">
        <v>193</v>
      </c>
      <c r="M70" s="11" t="s">
        <v>37</v>
      </c>
      <c r="N70" s="11" t="s">
        <v>55</v>
      </c>
      <c r="O70" s="11" t="s">
        <v>56</v>
      </c>
      <c r="P70" s="11" t="s">
        <v>195</v>
      </c>
      <c r="Q70" s="13">
        <v>167.96799999999999</v>
      </c>
      <c r="R70" s="11">
        <v>4</v>
      </c>
      <c r="S70" s="16">
        <v>0.2</v>
      </c>
      <c r="T70" s="13">
        <v>62.988</v>
      </c>
      <c r="U70" s="1" t="str">
        <f t="shared" si="4"/>
        <v>Profit</v>
      </c>
      <c r="V70" s="1" t="str">
        <f t="shared" si="5"/>
        <v>Low</v>
      </c>
    </row>
    <row r="71" spans="1:22" x14ac:dyDescent="0.35">
      <c r="A71" s="11">
        <v>70</v>
      </c>
      <c r="B71" s="10">
        <v>41430</v>
      </c>
      <c r="C71" s="11">
        <v>2013</v>
      </c>
      <c r="D71" s="12" t="s">
        <v>32</v>
      </c>
      <c r="E71" s="10">
        <v>41432</v>
      </c>
      <c r="F71" s="11">
        <f t="shared" si="3"/>
        <v>2</v>
      </c>
      <c r="G71" s="11" t="s">
        <v>128</v>
      </c>
      <c r="H71" s="11" t="s">
        <v>196</v>
      </c>
      <c r="I71" s="11" t="s">
        <v>23</v>
      </c>
      <c r="J71" s="11" t="s">
        <v>890</v>
      </c>
      <c r="K71" s="11" t="s">
        <v>197</v>
      </c>
      <c r="L71" s="11" t="s">
        <v>198</v>
      </c>
      <c r="M71" s="11" t="s">
        <v>26</v>
      </c>
      <c r="N71" s="11" t="s">
        <v>38</v>
      </c>
      <c r="O71" s="11" t="s">
        <v>68</v>
      </c>
      <c r="P71" s="11" t="s">
        <v>199</v>
      </c>
      <c r="Q71" s="13">
        <v>75.88</v>
      </c>
      <c r="R71" s="11">
        <v>2</v>
      </c>
      <c r="S71" s="16">
        <v>0</v>
      </c>
      <c r="T71" s="13">
        <v>35.663600000000002</v>
      </c>
      <c r="U71" s="1" t="str">
        <f t="shared" si="4"/>
        <v>Profit</v>
      </c>
      <c r="V71" s="1" t="str">
        <f t="shared" si="5"/>
        <v>Low</v>
      </c>
    </row>
    <row r="72" spans="1:22" x14ac:dyDescent="0.35">
      <c r="A72" s="11">
        <v>71</v>
      </c>
      <c r="B72" s="10">
        <v>41536</v>
      </c>
      <c r="C72" s="11">
        <v>2013</v>
      </c>
      <c r="D72" s="12" t="s">
        <v>108</v>
      </c>
      <c r="E72" s="10">
        <v>41541</v>
      </c>
      <c r="F72" s="11">
        <f t="shared" si="3"/>
        <v>5</v>
      </c>
      <c r="G72" s="11" t="s">
        <v>42</v>
      </c>
      <c r="H72" s="11" t="s">
        <v>200</v>
      </c>
      <c r="I72" s="11" t="s">
        <v>23</v>
      </c>
      <c r="J72" s="11" t="s">
        <v>890</v>
      </c>
      <c r="K72" s="11" t="s">
        <v>170</v>
      </c>
      <c r="L72" s="11" t="s">
        <v>171</v>
      </c>
      <c r="M72" s="11" t="s">
        <v>106</v>
      </c>
      <c r="N72" s="11" t="s">
        <v>38</v>
      </c>
      <c r="O72" s="11" t="s">
        <v>58</v>
      </c>
      <c r="P72" s="11" t="s">
        <v>201</v>
      </c>
      <c r="Q72" s="13">
        <v>4.6159999999999997</v>
      </c>
      <c r="R72" s="11">
        <v>1</v>
      </c>
      <c r="S72" s="16">
        <v>0.2</v>
      </c>
      <c r="T72" s="13">
        <v>1.7310000000000001</v>
      </c>
      <c r="U72" s="1" t="str">
        <f t="shared" si="4"/>
        <v>Profit</v>
      </c>
      <c r="V72" s="1" t="str">
        <f t="shared" si="5"/>
        <v>Low</v>
      </c>
    </row>
    <row r="73" spans="1:22" x14ac:dyDescent="0.35">
      <c r="A73" s="11">
        <v>72</v>
      </c>
      <c r="B73" s="10">
        <v>41897</v>
      </c>
      <c r="C73" s="11">
        <v>2014</v>
      </c>
      <c r="D73" s="12" t="s">
        <v>108</v>
      </c>
      <c r="E73" s="10">
        <v>41900</v>
      </c>
      <c r="F73" s="11">
        <f t="shared" si="3"/>
        <v>3</v>
      </c>
      <c r="G73" s="11" t="s">
        <v>21</v>
      </c>
      <c r="H73" s="11" t="s">
        <v>116</v>
      </c>
      <c r="I73" s="11" t="s">
        <v>23</v>
      </c>
      <c r="J73" s="11" t="s">
        <v>890</v>
      </c>
      <c r="K73" s="11" t="s">
        <v>202</v>
      </c>
      <c r="L73" s="11" t="s">
        <v>155</v>
      </c>
      <c r="M73" s="11" t="s">
        <v>79</v>
      </c>
      <c r="N73" s="11" t="s">
        <v>38</v>
      </c>
      <c r="O73" s="11" t="s">
        <v>68</v>
      </c>
      <c r="P73" s="11" t="s">
        <v>203</v>
      </c>
      <c r="Q73" s="13">
        <v>19.05</v>
      </c>
      <c r="R73" s="11">
        <v>3</v>
      </c>
      <c r="S73" s="16">
        <v>0</v>
      </c>
      <c r="T73" s="13">
        <v>8.7629999999999999</v>
      </c>
      <c r="U73" s="1" t="str">
        <f t="shared" si="4"/>
        <v>Profit</v>
      </c>
      <c r="V73" s="1" t="str">
        <f t="shared" si="5"/>
        <v>Low</v>
      </c>
    </row>
    <row r="74" spans="1:22" x14ac:dyDescent="0.35">
      <c r="A74" s="11">
        <v>73</v>
      </c>
      <c r="B74" s="10">
        <v>41025</v>
      </c>
      <c r="C74" s="11">
        <v>2012</v>
      </c>
      <c r="D74" s="12" t="s">
        <v>64</v>
      </c>
      <c r="E74" s="10">
        <v>41031</v>
      </c>
      <c r="F74" s="11">
        <f t="shared" si="3"/>
        <v>6</v>
      </c>
      <c r="G74" s="11" t="s">
        <v>42</v>
      </c>
      <c r="H74" s="11" t="s">
        <v>204</v>
      </c>
      <c r="I74" s="11" t="s">
        <v>23</v>
      </c>
      <c r="J74" s="11" t="s">
        <v>890</v>
      </c>
      <c r="K74" s="11" t="s">
        <v>205</v>
      </c>
      <c r="L74" s="11" t="s">
        <v>206</v>
      </c>
      <c r="M74" s="11" t="s">
        <v>26</v>
      </c>
      <c r="N74" s="11" t="s">
        <v>27</v>
      </c>
      <c r="O74" s="11" t="s">
        <v>30</v>
      </c>
      <c r="P74" s="11" t="s">
        <v>207</v>
      </c>
      <c r="Q74" s="13">
        <v>831.93600000000004</v>
      </c>
      <c r="R74" s="11">
        <v>8</v>
      </c>
      <c r="S74" s="16">
        <v>0.2</v>
      </c>
      <c r="T74" s="13">
        <v>-114.3912</v>
      </c>
      <c r="U74" s="1" t="str">
        <f t="shared" si="4"/>
        <v>Loss</v>
      </c>
      <c r="V74" s="1" t="str">
        <f t="shared" si="5"/>
        <v>Medium</v>
      </c>
    </row>
    <row r="75" spans="1:22" x14ac:dyDescent="0.35">
      <c r="A75" s="11">
        <v>74</v>
      </c>
      <c r="B75" s="10">
        <v>41025</v>
      </c>
      <c r="C75" s="11">
        <v>2012</v>
      </c>
      <c r="D75" s="12" t="s">
        <v>64</v>
      </c>
      <c r="E75" s="10">
        <v>41031</v>
      </c>
      <c r="F75" s="11">
        <f t="shared" si="3"/>
        <v>6</v>
      </c>
      <c r="G75" s="11" t="s">
        <v>42</v>
      </c>
      <c r="H75" s="11" t="s">
        <v>204</v>
      </c>
      <c r="I75" s="11" t="s">
        <v>23</v>
      </c>
      <c r="J75" s="11" t="s">
        <v>890</v>
      </c>
      <c r="K75" s="11" t="s">
        <v>205</v>
      </c>
      <c r="L75" s="11" t="s">
        <v>206</v>
      </c>
      <c r="M75" s="11" t="s">
        <v>26</v>
      </c>
      <c r="N75" s="11" t="s">
        <v>27</v>
      </c>
      <c r="O75" s="11" t="s">
        <v>51</v>
      </c>
      <c r="P75" s="11" t="s">
        <v>208</v>
      </c>
      <c r="Q75" s="13">
        <v>97.04</v>
      </c>
      <c r="R75" s="11">
        <v>2</v>
      </c>
      <c r="S75" s="16">
        <v>0.2</v>
      </c>
      <c r="T75" s="13">
        <v>1.2130000000000001</v>
      </c>
      <c r="U75" s="1" t="str">
        <f t="shared" si="4"/>
        <v>Profit</v>
      </c>
      <c r="V75" s="1" t="str">
        <f t="shared" si="5"/>
        <v>Low</v>
      </c>
    </row>
    <row r="76" spans="1:22" x14ac:dyDescent="0.35">
      <c r="A76" s="11">
        <v>75</v>
      </c>
      <c r="B76" s="10">
        <v>41025</v>
      </c>
      <c r="C76" s="11">
        <v>2012</v>
      </c>
      <c r="D76" s="12" t="s">
        <v>64</v>
      </c>
      <c r="E76" s="10">
        <v>41031</v>
      </c>
      <c r="F76" s="11">
        <f t="shared" si="3"/>
        <v>6</v>
      </c>
      <c r="G76" s="11" t="s">
        <v>42</v>
      </c>
      <c r="H76" s="11" t="s">
        <v>204</v>
      </c>
      <c r="I76" s="11" t="s">
        <v>23</v>
      </c>
      <c r="J76" s="11" t="s">
        <v>890</v>
      </c>
      <c r="K76" s="11" t="s">
        <v>205</v>
      </c>
      <c r="L76" s="11" t="s">
        <v>206</v>
      </c>
      <c r="M76" s="11" t="s">
        <v>26</v>
      </c>
      <c r="N76" s="11" t="s">
        <v>38</v>
      </c>
      <c r="O76" s="11" t="s">
        <v>48</v>
      </c>
      <c r="P76" s="11" t="s">
        <v>209</v>
      </c>
      <c r="Q76" s="13">
        <v>72.784000000000006</v>
      </c>
      <c r="R76" s="11">
        <v>1</v>
      </c>
      <c r="S76" s="16">
        <v>0.2</v>
      </c>
      <c r="T76" s="13">
        <v>-18.196000000000002</v>
      </c>
      <c r="U76" s="1" t="str">
        <f t="shared" si="4"/>
        <v>Loss</v>
      </c>
      <c r="V76" s="1" t="str">
        <f t="shared" si="5"/>
        <v>Low</v>
      </c>
    </row>
    <row r="77" spans="1:22" x14ac:dyDescent="0.35">
      <c r="A77" s="11">
        <v>76</v>
      </c>
      <c r="B77" s="10">
        <v>41983</v>
      </c>
      <c r="C77" s="11">
        <v>2014</v>
      </c>
      <c r="D77" s="12" t="s">
        <v>70</v>
      </c>
      <c r="E77" s="10">
        <v>41985</v>
      </c>
      <c r="F77" s="11">
        <f t="shared" si="3"/>
        <v>2</v>
      </c>
      <c r="G77" s="11" t="s">
        <v>128</v>
      </c>
      <c r="H77" s="11" t="s">
        <v>210</v>
      </c>
      <c r="I77" s="11" t="s">
        <v>34</v>
      </c>
      <c r="J77" s="11" t="s">
        <v>890</v>
      </c>
      <c r="K77" s="11" t="s">
        <v>126</v>
      </c>
      <c r="L77" s="11" t="s">
        <v>78</v>
      </c>
      <c r="M77" s="11" t="s">
        <v>79</v>
      </c>
      <c r="N77" s="11" t="s">
        <v>38</v>
      </c>
      <c r="O77" s="11" t="s">
        <v>58</v>
      </c>
      <c r="P77" s="11" t="s">
        <v>211</v>
      </c>
      <c r="Q77" s="13">
        <v>1.248</v>
      </c>
      <c r="R77" s="11">
        <v>3</v>
      </c>
      <c r="S77" s="16">
        <v>0.8</v>
      </c>
      <c r="T77" s="13">
        <v>-1.9343999999999999</v>
      </c>
      <c r="U77" s="1" t="str">
        <f t="shared" si="4"/>
        <v>Loss</v>
      </c>
      <c r="V77" s="1" t="str">
        <f t="shared" si="5"/>
        <v>Low</v>
      </c>
    </row>
    <row r="78" spans="1:22" x14ac:dyDescent="0.35">
      <c r="A78" s="11">
        <v>77</v>
      </c>
      <c r="B78" s="10">
        <v>41983</v>
      </c>
      <c r="C78" s="11">
        <v>2014</v>
      </c>
      <c r="D78" s="12" t="s">
        <v>70</v>
      </c>
      <c r="E78" s="10">
        <v>41985</v>
      </c>
      <c r="F78" s="11">
        <f t="shared" si="3"/>
        <v>2</v>
      </c>
      <c r="G78" s="11" t="s">
        <v>128</v>
      </c>
      <c r="H78" s="11" t="s">
        <v>210</v>
      </c>
      <c r="I78" s="11" t="s">
        <v>34</v>
      </c>
      <c r="J78" s="11" t="s">
        <v>890</v>
      </c>
      <c r="K78" s="11" t="s">
        <v>126</v>
      </c>
      <c r="L78" s="11" t="s">
        <v>78</v>
      </c>
      <c r="M78" s="11" t="s">
        <v>79</v>
      </c>
      <c r="N78" s="11" t="s">
        <v>27</v>
      </c>
      <c r="O78" s="11" t="s">
        <v>51</v>
      </c>
      <c r="P78" s="11" t="s">
        <v>212</v>
      </c>
      <c r="Q78" s="13">
        <v>9.7080000000000002</v>
      </c>
      <c r="R78" s="11">
        <v>3</v>
      </c>
      <c r="S78" s="16">
        <v>0.6</v>
      </c>
      <c r="T78" s="13">
        <v>-5.8247999999999998</v>
      </c>
      <c r="U78" s="1" t="str">
        <f t="shared" si="4"/>
        <v>Loss</v>
      </c>
      <c r="V78" s="1" t="str">
        <f t="shared" si="5"/>
        <v>Low</v>
      </c>
    </row>
    <row r="79" spans="1:22" x14ac:dyDescent="0.35">
      <c r="A79" s="11">
        <v>78</v>
      </c>
      <c r="B79" s="10">
        <v>41983</v>
      </c>
      <c r="C79" s="11">
        <v>2014</v>
      </c>
      <c r="D79" s="12" t="s">
        <v>70</v>
      </c>
      <c r="E79" s="10">
        <v>41985</v>
      </c>
      <c r="F79" s="11">
        <f t="shared" si="3"/>
        <v>2</v>
      </c>
      <c r="G79" s="11" t="s">
        <v>128</v>
      </c>
      <c r="H79" s="11" t="s">
        <v>210</v>
      </c>
      <c r="I79" s="11" t="s">
        <v>34</v>
      </c>
      <c r="J79" s="11" t="s">
        <v>890</v>
      </c>
      <c r="K79" s="11" t="s">
        <v>126</v>
      </c>
      <c r="L79" s="11" t="s">
        <v>78</v>
      </c>
      <c r="M79" s="11" t="s">
        <v>79</v>
      </c>
      <c r="N79" s="11" t="s">
        <v>38</v>
      </c>
      <c r="O79" s="11" t="s">
        <v>48</v>
      </c>
      <c r="P79" s="11" t="s">
        <v>213</v>
      </c>
      <c r="Q79" s="13">
        <v>27.24</v>
      </c>
      <c r="R79" s="11">
        <v>3</v>
      </c>
      <c r="S79" s="16">
        <v>0.2</v>
      </c>
      <c r="T79" s="13">
        <v>2.7240000000000002</v>
      </c>
      <c r="U79" s="1" t="str">
        <f t="shared" si="4"/>
        <v>Profit</v>
      </c>
      <c r="V79" s="1" t="str">
        <f t="shared" si="5"/>
        <v>Low</v>
      </c>
    </row>
    <row r="80" spans="1:22" x14ac:dyDescent="0.35">
      <c r="A80" s="11">
        <v>79</v>
      </c>
      <c r="B80" s="10">
        <v>40873</v>
      </c>
      <c r="C80" s="11">
        <v>2011</v>
      </c>
      <c r="D80" s="12" t="s">
        <v>20</v>
      </c>
      <c r="E80" s="10">
        <v>40878</v>
      </c>
      <c r="F80" s="11">
        <f t="shared" si="3"/>
        <v>5</v>
      </c>
      <c r="G80" s="11" t="s">
        <v>21</v>
      </c>
      <c r="H80" s="11" t="s">
        <v>204</v>
      </c>
      <c r="I80" s="11" t="s">
        <v>23</v>
      </c>
      <c r="J80" s="11" t="s">
        <v>890</v>
      </c>
      <c r="K80" s="11" t="s">
        <v>126</v>
      </c>
      <c r="L80" s="11" t="s">
        <v>78</v>
      </c>
      <c r="M80" s="11" t="s">
        <v>79</v>
      </c>
      <c r="N80" s="11" t="s">
        <v>27</v>
      </c>
      <c r="O80" s="11" t="s">
        <v>51</v>
      </c>
      <c r="P80" s="11" t="s">
        <v>214</v>
      </c>
      <c r="Q80" s="13">
        <v>19.3</v>
      </c>
      <c r="R80" s="11">
        <v>5</v>
      </c>
      <c r="S80" s="16">
        <v>0.6</v>
      </c>
      <c r="T80" s="13">
        <v>-14.475</v>
      </c>
      <c r="U80" s="1" t="str">
        <f t="shared" si="4"/>
        <v>Loss</v>
      </c>
      <c r="V80" s="1" t="str">
        <f t="shared" si="5"/>
        <v>Low</v>
      </c>
    </row>
    <row r="81" spans="1:22" x14ac:dyDescent="0.35">
      <c r="A81" s="11">
        <v>80</v>
      </c>
      <c r="B81" s="10">
        <v>41438</v>
      </c>
      <c r="C81" s="11">
        <v>2013</v>
      </c>
      <c r="D81" s="12" t="s">
        <v>32</v>
      </c>
      <c r="E81" s="10">
        <v>41441</v>
      </c>
      <c r="F81" s="11">
        <f t="shared" si="3"/>
        <v>3</v>
      </c>
      <c r="G81" s="11" t="s">
        <v>128</v>
      </c>
      <c r="H81" s="11" t="s">
        <v>215</v>
      </c>
      <c r="I81" s="11" t="s">
        <v>34</v>
      </c>
      <c r="J81" s="11" t="s">
        <v>890</v>
      </c>
      <c r="K81" s="11" t="s">
        <v>216</v>
      </c>
      <c r="L81" s="11" t="s">
        <v>217</v>
      </c>
      <c r="M81" s="11" t="s">
        <v>26</v>
      </c>
      <c r="N81" s="11" t="s">
        <v>38</v>
      </c>
      <c r="O81" s="11" t="s">
        <v>60</v>
      </c>
      <c r="P81" s="11" t="s">
        <v>218</v>
      </c>
      <c r="Q81" s="13">
        <v>208.16</v>
      </c>
      <c r="R81" s="11">
        <v>1</v>
      </c>
      <c r="S81" s="16">
        <v>0</v>
      </c>
      <c r="T81" s="13">
        <v>56.203200000000002</v>
      </c>
      <c r="U81" s="1" t="str">
        <f t="shared" si="4"/>
        <v>Profit</v>
      </c>
      <c r="V81" s="1" t="str">
        <f t="shared" si="5"/>
        <v>Low</v>
      </c>
    </row>
    <row r="82" spans="1:22" x14ac:dyDescent="0.35">
      <c r="A82" s="11">
        <v>81</v>
      </c>
      <c r="B82" s="10">
        <v>41438</v>
      </c>
      <c r="C82" s="11">
        <v>2013</v>
      </c>
      <c r="D82" s="12" t="s">
        <v>32</v>
      </c>
      <c r="E82" s="10">
        <v>41441</v>
      </c>
      <c r="F82" s="11">
        <f t="shared" si="3"/>
        <v>3</v>
      </c>
      <c r="G82" s="11" t="s">
        <v>128</v>
      </c>
      <c r="H82" s="11" t="s">
        <v>215</v>
      </c>
      <c r="I82" s="11" t="s">
        <v>34</v>
      </c>
      <c r="J82" s="11" t="s">
        <v>890</v>
      </c>
      <c r="K82" s="11" t="s">
        <v>216</v>
      </c>
      <c r="L82" s="11" t="s">
        <v>217</v>
      </c>
      <c r="M82" s="11" t="s">
        <v>26</v>
      </c>
      <c r="N82" s="11" t="s">
        <v>38</v>
      </c>
      <c r="O82" s="11" t="s">
        <v>58</v>
      </c>
      <c r="P82" s="11" t="s">
        <v>219</v>
      </c>
      <c r="Q82" s="13">
        <v>16.739999999999998</v>
      </c>
      <c r="R82" s="11">
        <v>3</v>
      </c>
      <c r="S82" s="16">
        <v>0</v>
      </c>
      <c r="T82" s="13">
        <v>8.0351999999999997</v>
      </c>
      <c r="U82" s="1" t="str">
        <f t="shared" si="4"/>
        <v>Profit</v>
      </c>
      <c r="V82" s="1" t="str">
        <f t="shared" si="5"/>
        <v>Low</v>
      </c>
    </row>
    <row r="83" spans="1:22" x14ac:dyDescent="0.35">
      <c r="A83" s="11">
        <v>82</v>
      </c>
      <c r="B83" s="10">
        <v>40828</v>
      </c>
      <c r="C83" s="11">
        <v>2011</v>
      </c>
      <c r="D83" s="12" t="s">
        <v>41</v>
      </c>
      <c r="E83" s="10">
        <v>40832</v>
      </c>
      <c r="F83" s="11">
        <f t="shared" si="3"/>
        <v>4</v>
      </c>
      <c r="G83" s="11" t="s">
        <v>42</v>
      </c>
      <c r="H83" s="11" t="s">
        <v>220</v>
      </c>
      <c r="I83" s="11" t="s">
        <v>23</v>
      </c>
      <c r="J83" s="11" t="s">
        <v>890</v>
      </c>
      <c r="K83" s="11" t="s">
        <v>93</v>
      </c>
      <c r="L83" s="11" t="s">
        <v>36</v>
      </c>
      <c r="M83" s="11" t="s">
        <v>37</v>
      </c>
      <c r="N83" s="11" t="s">
        <v>38</v>
      </c>
      <c r="O83" s="11" t="s">
        <v>53</v>
      </c>
      <c r="P83" s="11" t="s">
        <v>221</v>
      </c>
      <c r="Q83" s="13">
        <v>14.9</v>
      </c>
      <c r="R83" s="11">
        <v>5</v>
      </c>
      <c r="S83" s="16">
        <v>0</v>
      </c>
      <c r="T83" s="13">
        <v>4.1719999999999997</v>
      </c>
      <c r="U83" s="1" t="str">
        <f t="shared" si="4"/>
        <v>Profit</v>
      </c>
      <c r="V83" s="1" t="str">
        <f t="shared" si="5"/>
        <v>Low</v>
      </c>
    </row>
    <row r="84" spans="1:22" x14ac:dyDescent="0.35">
      <c r="A84" s="11">
        <v>83</v>
      </c>
      <c r="B84" s="10">
        <v>40828</v>
      </c>
      <c r="C84" s="11">
        <v>2011</v>
      </c>
      <c r="D84" s="12" t="s">
        <v>41</v>
      </c>
      <c r="E84" s="10">
        <v>40832</v>
      </c>
      <c r="F84" s="11">
        <f t="shared" si="3"/>
        <v>4</v>
      </c>
      <c r="G84" s="11" t="s">
        <v>42</v>
      </c>
      <c r="H84" s="11" t="s">
        <v>220</v>
      </c>
      <c r="I84" s="11" t="s">
        <v>23</v>
      </c>
      <c r="J84" s="11" t="s">
        <v>890</v>
      </c>
      <c r="K84" s="11" t="s">
        <v>93</v>
      </c>
      <c r="L84" s="11" t="s">
        <v>36</v>
      </c>
      <c r="M84" s="11" t="s">
        <v>37</v>
      </c>
      <c r="N84" s="11" t="s">
        <v>38</v>
      </c>
      <c r="O84" s="11" t="s">
        <v>48</v>
      </c>
      <c r="P84" s="11" t="s">
        <v>222</v>
      </c>
      <c r="Q84" s="13">
        <v>21.39</v>
      </c>
      <c r="R84" s="11">
        <v>1</v>
      </c>
      <c r="S84" s="16">
        <v>0</v>
      </c>
      <c r="T84" s="13">
        <v>6.2031000000000001</v>
      </c>
      <c r="U84" s="1" t="str">
        <f t="shared" si="4"/>
        <v>Profit</v>
      </c>
      <c r="V84" s="1" t="str">
        <f t="shared" si="5"/>
        <v>Low</v>
      </c>
    </row>
    <row r="85" spans="1:22" x14ac:dyDescent="0.35">
      <c r="A85" s="11">
        <v>84</v>
      </c>
      <c r="B85" s="10">
        <v>41155</v>
      </c>
      <c r="C85" s="11">
        <v>2012</v>
      </c>
      <c r="D85" s="12" t="s">
        <v>108</v>
      </c>
      <c r="E85" s="10">
        <v>41160</v>
      </c>
      <c r="F85" s="11">
        <f t="shared" si="3"/>
        <v>5</v>
      </c>
      <c r="G85" s="11" t="s">
        <v>42</v>
      </c>
      <c r="H85" s="11" t="s">
        <v>223</v>
      </c>
      <c r="I85" s="11" t="s">
        <v>34</v>
      </c>
      <c r="J85" s="11" t="s">
        <v>890</v>
      </c>
      <c r="K85" s="11" t="s">
        <v>224</v>
      </c>
      <c r="L85" s="11" t="s">
        <v>67</v>
      </c>
      <c r="M85" s="11" t="s">
        <v>26</v>
      </c>
      <c r="N85" s="11" t="s">
        <v>38</v>
      </c>
      <c r="O85" s="11" t="s">
        <v>120</v>
      </c>
      <c r="P85" s="11" t="s">
        <v>225</v>
      </c>
      <c r="Q85" s="13">
        <v>200.98400000000001</v>
      </c>
      <c r="R85" s="11">
        <v>7</v>
      </c>
      <c r="S85" s="16">
        <v>0.2</v>
      </c>
      <c r="T85" s="13">
        <v>62.807499999999997</v>
      </c>
      <c r="U85" s="1" t="str">
        <f t="shared" si="4"/>
        <v>Profit</v>
      </c>
      <c r="V85" s="1" t="str">
        <f t="shared" si="5"/>
        <v>Low</v>
      </c>
    </row>
    <row r="86" spans="1:22" x14ac:dyDescent="0.35">
      <c r="A86" s="11">
        <v>85</v>
      </c>
      <c r="B86" s="10">
        <v>41957</v>
      </c>
      <c r="C86" s="11">
        <v>2014</v>
      </c>
      <c r="D86" s="12" t="s">
        <v>20</v>
      </c>
      <c r="E86" s="10">
        <v>41960</v>
      </c>
      <c r="F86" s="11">
        <f t="shared" si="3"/>
        <v>3</v>
      </c>
      <c r="G86" s="11" t="s">
        <v>128</v>
      </c>
      <c r="H86" s="11" t="s">
        <v>226</v>
      </c>
      <c r="I86" s="11" t="s">
        <v>76</v>
      </c>
      <c r="J86" s="11" t="s">
        <v>890</v>
      </c>
      <c r="K86" s="11" t="s">
        <v>189</v>
      </c>
      <c r="L86" s="11" t="s">
        <v>140</v>
      </c>
      <c r="M86" s="11" t="s">
        <v>79</v>
      </c>
      <c r="N86" s="11" t="s">
        <v>38</v>
      </c>
      <c r="O86" s="11" t="s">
        <v>48</v>
      </c>
      <c r="P86" s="11" t="s">
        <v>227</v>
      </c>
      <c r="Q86" s="13">
        <v>230.376</v>
      </c>
      <c r="R86" s="11">
        <v>3</v>
      </c>
      <c r="S86" s="16">
        <v>0.2</v>
      </c>
      <c r="T86" s="13">
        <v>-48.954900000000002</v>
      </c>
      <c r="U86" s="1" t="str">
        <f t="shared" si="4"/>
        <v>Loss</v>
      </c>
      <c r="V86" s="1" t="str">
        <f t="shared" si="5"/>
        <v>Low</v>
      </c>
    </row>
    <row r="87" spans="1:22" x14ac:dyDescent="0.35">
      <c r="A87" s="11">
        <v>86</v>
      </c>
      <c r="B87" s="10">
        <v>41788</v>
      </c>
      <c r="C87" s="11">
        <v>2014</v>
      </c>
      <c r="D87" s="12" t="s">
        <v>86</v>
      </c>
      <c r="E87" s="10">
        <v>41790</v>
      </c>
      <c r="F87" s="11">
        <f t="shared" si="3"/>
        <v>2</v>
      </c>
      <c r="G87" s="11" t="s">
        <v>21</v>
      </c>
      <c r="H87" s="11" t="s">
        <v>153</v>
      </c>
      <c r="I87" s="11" t="s">
        <v>23</v>
      </c>
      <c r="J87" s="11" t="s">
        <v>890</v>
      </c>
      <c r="K87" s="11" t="s">
        <v>228</v>
      </c>
      <c r="L87" s="11" t="s">
        <v>229</v>
      </c>
      <c r="M87" s="11" t="s">
        <v>26</v>
      </c>
      <c r="N87" s="11" t="s">
        <v>27</v>
      </c>
      <c r="O87" s="11" t="s">
        <v>30</v>
      </c>
      <c r="P87" s="11" t="s">
        <v>230</v>
      </c>
      <c r="Q87" s="13">
        <v>301.95999999999998</v>
      </c>
      <c r="R87" s="11">
        <v>2</v>
      </c>
      <c r="S87" s="16">
        <v>0</v>
      </c>
      <c r="T87" s="13">
        <v>33.215600000000002</v>
      </c>
      <c r="U87" s="1" t="str">
        <f t="shared" si="4"/>
        <v>Profit</v>
      </c>
      <c r="V87" s="1" t="str">
        <f t="shared" si="5"/>
        <v>Low</v>
      </c>
    </row>
    <row r="88" spans="1:22" x14ac:dyDescent="0.35">
      <c r="A88" s="11">
        <v>87</v>
      </c>
      <c r="B88" s="10">
        <v>41939</v>
      </c>
      <c r="C88" s="11">
        <v>2014</v>
      </c>
      <c r="D88" s="12" t="s">
        <v>41</v>
      </c>
      <c r="E88" s="10">
        <v>41946</v>
      </c>
      <c r="F88" s="11">
        <f t="shared" si="3"/>
        <v>7</v>
      </c>
      <c r="G88" s="11" t="s">
        <v>42</v>
      </c>
      <c r="H88" s="11" t="s">
        <v>231</v>
      </c>
      <c r="I88" s="11" t="s">
        <v>23</v>
      </c>
      <c r="J88" s="11" t="s">
        <v>890</v>
      </c>
      <c r="K88" s="11" t="s">
        <v>232</v>
      </c>
      <c r="L88" s="11" t="s">
        <v>150</v>
      </c>
      <c r="M88" s="11" t="s">
        <v>79</v>
      </c>
      <c r="N88" s="11" t="s">
        <v>55</v>
      </c>
      <c r="O88" s="11" t="s">
        <v>114</v>
      </c>
      <c r="P88" s="11" t="s">
        <v>233</v>
      </c>
      <c r="Q88" s="13">
        <v>19.989999999999998</v>
      </c>
      <c r="R88" s="11">
        <v>1</v>
      </c>
      <c r="S88" s="16">
        <v>0</v>
      </c>
      <c r="T88" s="13">
        <v>6.7965999999999998</v>
      </c>
      <c r="U88" s="1" t="str">
        <f t="shared" si="4"/>
        <v>Profit</v>
      </c>
      <c r="V88" s="1" t="str">
        <f t="shared" si="5"/>
        <v>Low</v>
      </c>
    </row>
    <row r="89" spans="1:22" x14ac:dyDescent="0.35">
      <c r="A89" s="11">
        <v>88</v>
      </c>
      <c r="B89" s="10">
        <v>41939</v>
      </c>
      <c r="C89" s="11">
        <v>2014</v>
      </c>
      <c r="D89" s="12" t="s">
        <v>41</v>
      </c>
      <c r="E89" s="10">
        <v>41946</v>
      </c>
      <c r="F89" s="11">
        <f t="shared" si="3"/>
        <v>7</v>
      </c>
      <c r="G89" s="11" t="s">
        <v>42</v>
      </c>
      <c r="H89" s="11" t="s">
        <v>231</v>
      </c>
      <c r="I89" s="11" t="s">
        <v>23</v>
      </c>
      <c r="J89" s="11" t="s">
        <v>890</v>
      </c>
      <c r="K89" s="11" t="s">
        <v>232</v>
      </c>
      <c r="L89" s="11" t="s">
        <v>150</v>
      </c>
      <c r="M89" s="11" t="s">
        <v>79</v>
      </c>
      <c r="N89" s="11" t="s">
        <v>38</v>
      </c>
      <c r="O89" s="11" t="s">
        <v>39</v>
      </c>
      <c r="P89" s="11" t="s">
        <v>234</v>
      </c>
      <c r="Q89" s="13">
        <v>6.16</v>
      </c>
      <c r="R89" s="11">
        <v>2</v>
      </c>
      <c r="S89" s="16">
        <v>0</v>
      </c>
      <c r="T89" s="13">
        <v>2.9567999999999999</v>
      </c>
      <c r="U89" s="1" t="str">
        <f t="shared" si="4"/>
        <v>Profit</v>
      </c>
      <c r="V89" s="1" t="str">
        <f t="shared" si="5"/>
        <v>Low</v>
      </c>
    </row>
    <row r="90" spans="1:22" x14ac:dyDescent="0.35">
      <c r="A90" s="11">
        <v>89</v>
      </c>
      <c r="B90" s="10">
        <v>41370</v>
      </c>
      <c r="C90" s="11">
        <v>2013</v>
      </c>
      <c r="D90" s="12" t="s">
        <v>64</v>
      </c>
      <c r="E90" s="10">
        <v>41375</v>
      </c>
      <c r="F90" s="11">
        <f t="shared" si="3"/>
        <v>5</v>
      </c>
      <c r="G90" s="11" t="s">
        <v>21</v>
      </c>
      <c r="H90" s="11" t="s">
        <v>235</v>
      </c>
      <c r="I90" s="11" t="s">
        <v>76</v>
      </c>
      <c r="J90" s="11" t="s">
        <v>890</v>
      </c>
      <c r="K90" s="11" t="s">
        <v>126</v>
      </c>
      <c r="L90" s="11" t="s">
        <v>78</v>
      </c>
      <c r="M90" s="11" t="s">
        <v>79</v>
      </c>
      <c r="N90" s="11" t="s">
        <v>38</v>
      </c>
      <c r="O90" s="11" t="s">
        <v>48</v>
      </c>
      <c r="P90" s="11" t="s">
        <v>236</v>
      </c>
      <c r="Q90" s="13">
        <v>158.36799999999999</v>
      </c>
      <c r="R90" s="11">
        <v>7</v>
      </c>
      <c r="S90" s="16">
        <v>0.2</v>
      </c>
      <c r="T90" s="13">
        <v>13.857200000000001</v>
      </c>
      <c r="U90" s="1" t="str">
        <f t="shared" si="4"/>
        <v>Profit</v>
      </c>
      <c r="V90" s="1" t="str">
        <f t="shared" si="5"/>
        <v>Low</v>
      </c>
    </row>
    <row r="91" spans="1:22" x14ac:dyDescent="0.35">
      <c r="A91" s="11">
        <v>90</v>
      </c>
      <c r="B91" s="10">
        <v>41535</v>
      </c>
      <c r="C91" s="11">
        <v>2013</v>
      </c>
      <c r="D91" s="12" t="s">
        <v>108</v>
      </c>
      <c r="E91" s="10">
        <v>41540</v>
      </c>
      <c r="F91" s="11">
        <f t="shared" si="3"/>
        <v>5</v>
      </c>
      <c r="G91" s="11" t="s">
        <v>42</v>
      </c>
      <c r="H91" s="11" t="s">
        <v>237</v>
      </c>
      <c r="I91" s="11" t="s">
        <v>34</v>
      </c>
      <c r="J91" s="11" t="s">
        <v>890</v>
      </c>
      <c r="K91" s="11" t="s">
        <v>35</v>
      </c>
      <c r="L91" s="11" t="s">
        <v>36</v>
      </c>
      <c r="M91" s="11" t="s">
        <v>37</v>
      </c>
      <c r="N91" s="11" t="s">
        <v>38</v>
      </c>
      <c r="O91" s="11" t="s">
        <v>53</v>
      </c>
      <c r="P91" s="11" t="s">
        <v>238</v>
      </c>
      <c r="Q91" s="13">
        <v>20.100000000000001</v>
      </c>
      <c r="R91" s="11">
        <v>3</v>
      </c>
      <c r="S91" s="16">
        <v>0</v>
      </c>
      <c r="T91" s="13">
        <v>6.633</v>
      </c>
      <c r="U91" s="1" t="str">
        <f t="shared" si="4"/>
        <v>Profit</v>
      </c>
      <c r="V91" s="1" t="str">
        <f t="shared" si="5"/>
        <v>Low</v>
      </c>
    </row>
    <row r="92" spans="1:22" x14ac:dyDescent="0.35">
      <c r="A92" s="11">
        <v>91</v>
      </c>
      <c r="B92" s="10">
        <v>41535</v>
      </c>
      <c r="C92" s="11">
        <v>2013</v>
      </c>
      <c r="D92" s="12" t="s">
        <v>108</v>
      </c>
      <c r="E92" s="10">
        <v>41540</v>
      </c>
      <c r="F92" s="11">
        <f t="shared" si="3"/>
        <v>5</v>
      </c>
      <c r="G92" s="11" t="s">
        <v>42</v>
      </c>
      <c r="H92" s="11" t="s">
        <v>237</v>
      </c>
      <c r="I92" s="11" t="s">
        <v>34</v>
      </c>
      <c r="J92" s="11" t="s">
        <v>890</v>
      </c>
      <c r="K92" s="11" t="s">
        <v>35</v>
      </c>
      <c r="L92" s="11" t="s">
        <v>36</v>
      </c>
      <c r="M92" s="11" t="s">
        <v>37</v>
      </c>
      <c r="N92" s="11" t="s">
        <v>55</v>
      </c>
      <c r="O92" s="11" t="s">
        <v>56</v>
      </c>
      <c r="P92" s="11" t="s">
        <v>141</v>
      </c>
      <c r="Q92" s="13">
        <v>73.584000000000003</v>
      </c>
      <c r="R92" s="11">
        <v>2</v>
      </c>
      <c r="S92" s="16">
        <v>0.2</v>
      </c>
      <c r="T92" s="13">
        <v>8.2782</v>
      </c>
      <c r="U92" s="1" t="str">
        <f t="shared" si="4"/>
        <v>Profit</v>
      </c>
      <c r="V92" s="1" t="str">
        <f t="shared" si="5"/>
        <v>Low</v>
      </c>
    </row>
    <row r="93" spans="1:22" x14ac:dyDescent="0.35">
      <c r="A93" s="11">
        <v>92</v>
      </c>
      <c r="B93" s="10">
        <v>41535</v>
      </c>
      <c r="C93" s="11">
        <v>2013</v>
      </c>
      <c r="D93" s="12" t="s">
        <v>108</v>
      </c>
      <c r="E93" s="10">
        <v>41540</v>
      </c>
      <c r="F93" s="11">
        <f t="shared" si="3"/>
        <v>5</v>
      </c>
      <c r="G93" s="11" t="s">
        <v>42</v>
      </c>
      <c r="H93" s="11" t="s">
        <v>237</v>
      </c>
      <c r="I93" s="11" t="s">
        <v>34</v>
      </c>
      <c r="J93" s="11" t="s">
        <v>890</v>
      </c>
      <c r="K93" s="11" t="s">
        <v>35</v>
      </c>
      <c r="L93" s="11" t="s">
        <v>36</v>
      </c>
      <c r="M93" s="11" t="s">
        <v>37</v>
      </c>
      <c r="N93" s="11" t="s">
        <v>38</v>
      </c>
      <c r="O93" s="11" t="s">
        <v>68</v>
      </c>
      <c r="P93" s="11" t="s">
        <v>239</v>
      </c>
      <c r="Q93" s="13">
        <v>6.48</v>
      </c>
      <c r="R93" s="11">
        <v>1</v>
      </c>
      <c r="S93" s="16">
        <v>0</v>
      </c>
      <c r="T93" s="13">
        <v>3.1103999999999998</v>
      </c>
      <c r="U93" s="1" t="str">
        <f t="shared" si="4"/>
        <v>Profit</v>
      </c>
      <c r="V93" s="1" t="str">
        <f t="shared" si="5"/>
        <v>Low</v>
      </c>
    </row>
    <row r="94" spans="1:22" x14ac:dyDescent="0.35">
      <c r="A94" s="11">
        <v>93</v>
      </c>
      <c r="B94" s="10">
        <v>40939</v>
      </c>
      <c r="C94" s="11">
        <v>2012</v>
      </c>
      <c r="D94" s="12" t="s">
        <v>111</v>
      </c>
      <c r="E94" s="10">
        <v>40944</v>
      </c>
      <c r="F94" s="11">
        <f t="shared" si="3"/>
        <v>5</v>
      </c>
      <c r="G94" s="11" t="s">
        <v>21</v>
      </c>
      <c r="H94" s="11" t="s">
        <v>240</v>
      </c>
      <c r="I94" s="11" t="s">
        <v>23</v>
      </c>
      <c r="J94" s="11" t="s">
        <v>890</v>
      </c>
      <c r="K94" s="11" t="s">
        <v>241</v>
      </c>
      <c r="L94" s="11" t="s">
        <v>150</v>
      </c>
      <c r="M94" s="11" t="s">
        <v>79</v>
      </c>
      <c r="N94" s="11" t="s">
        <v>38</v>
      </c>
      <c r="O94" s="11" t="s">
        <v>68</v>
      </c>
      <c r="P94" s="11" t="s">
        <v>242</v>
      </c>
      <c r="Q94" s="13">
        <v>12.96</v>
      </c>
      <c r="R94" s="11">
        <v>2</v>
      </c>
      <c r="S94" s="16">
        <v>0</v>
      </c>
      <c r="T94" s="13">
        <v>6.2207999999999997</v>
      </c>
      <c r="U94" s="1" t="str">
        <f t="shared" si="4"/>
        <v>Profit</v>
      </c>
      <c r="V94" s="1" t="str">
        <f t="shared" si="5"/>
        <v>Low</v>
      </c>
    </row>
    <row r="95" spans="1:22" x14ac:dyDescent="0.35">
      <c r="A95" s="11">
        <v>94</v>
      </c>
      <c r="B95" s="10">
        <v>40939</v>
      </c>
      <c r="C95" s="11">
        <v>2012</v>
      </c>
      <c r="D95" s="12" t="s">
        <v>111</v>
      </c>
      <c r="E95" s="10">
        <v>40944</v>
      </c>
      <c r="F95" s="11">
        <f t="shared" si="3"/>
        <v>5</v>
      </c>
      <c r="G95" s="11" t="s">
        <v>21</v>
      </c>
      <c r="H95" s="11" t="s">
        <v>240</v>
      </c>
      <c r="I95" s="11" t="s">
        <v>23</v>
      </c>
      <c r="J95" s="11" t="s">
        <v>890</v>
      </c>
      <c r="K95" s="11" t="s">
        <v>241</v>
      </c>
      <c r="L95" s="11" t="s">
        <v>150</v>
      </c>
      <c r="M95" s="11" t="s">
        <v>79</v>
      </c>
      <c r="N95" s="11" t="s">
        <v>27</v>
      </c>
      <c r="O95" s="11" t="s">
        <v>51</v>
      </c>
      <c r="P95" s="11" t="s">
        <v>243</v>
      </c>
      <c r="Q95" s="13">
        <v>53.34</v>
      </c>
      <c r="R95" s="11">
        <v>3</v>
      </c>
      <c r="S95" s="16">
        <v>0</v>
      </c>
      <c r="T95" s="13">
        <v>16.535399999999999</v>
      </c>
      <c r="U95" s="1" t="str">
        <f t="shared" si="4"/>
        <v>Profit</v>
      </c>
      <c r="V95" s="1" t="str">
        <f t="shared" si="5"/>
        <v>Low</v>
      </c>
    </row>
    <row r="96" spans="1:22" x14ac:dyDescent="0.35">
      <c r="A96" s="11">
        <v>95</v>
      </c>
      <c r="B96" s="10">
        <v>40939</v>
      </c>
      <c r="C96" s="11">
        <v>2012</v>
      </c>
      <c r="D96" s="12" t="s">
        <v>111</v>
      </c>
      <c r="E96" s="10">
        <v>40944</v>
      </c>
      <c r="F96" s="11">
        <f t="shared" si="3"/>
        <v>5</v>
      </c>
      <c r="G96" s="11" t="s">
        <v>21</v>
      </c>
      <c r="H96" s="11" t="s">
        <v>240</v>
      </c>
      <c r="I96" s="11" t="s">
        <v>23</v>
      </c>
      <c r="J96" s="11" t="s">
        <v>890</v>
      </c>
      <c r="K96" s="11" t="s">
        <v>241</v>
      </c>
      <c r="L96" s="11" t="s">
        <v>150</v>
      </c>
      <c r="M96" s="11" t="s">
        <v>79</v>
      </c>
      <c r="N96" s="11" t="s">
        <v>38</v>
      </c>
      <c r="O96" s="11" t="s">
        <v>58</v>
      </c>
      <c r="P96" s="11" t="s">
        <v>244</v>
      </c>
      <c r="Q96" s="13">
        <v>32.96</v>
      </c>
      <c r="R96" s="11">
        <v>2</v>
      </c>
      <c r="S96" s="16">
        <v>0</v>
      </c>
      <c r="T96" s="13">
        <v>16.150400000000001</v>
      </c>
      <c r="U96" s="1" t="str">
        <f t="shared" si="4"/>
        <v>Profit</v>
      </c>
      <c r="V96" s="1" t="str">
        <f t="shared" si="5"/>
        <v>Low</v>
      </c>
    </row>
    <row r="97" spans="1:22" x14ac:dyDescent="0.35">
      <c r="A97" s="11">
        <v>96</v>
      </c>
      <c r="B97" s="10">
        <v>41950</v>
      </c>
      <c r="C97" s="11">
        <v>2014</v>
      </c>
      <c r="D97" s="12" t="s">
        <v>20</v>
      </c>
      <c r="E97" s="10">
        <v>41956</v>
      </c>
      <c r="F97" s="11">
        <f t="shared" si="3"/>
        <v>6</v>
      </c>
      <c r="G97" s="11" t="s">
        <v>42</v>
      </c>
      <c r="H97" s="11" t="s">
        <v>245</v>
      </c>
      <c r="I97" s="11" t="s">
        <v>76</v>
      </c>
      <c r="J97" s="11" t="s">
        <v>890</v>
      </c>
      <c r="K97" s="11" t="s">
        <v>246</v>
      </c>
      <c r="L97" s="11" t="s">
        <v>247</v>
      </c>
      <c r="M97" s="11" t="s">
        <v>37</v>
      </c>
      <c r="N97" s="11" t="s">
        <v>38</v>
      </c>
      <c r="O97" s="11" t="s">
        <v>58</v>
      </c>
      <c r="P97" s="11" t="s">
        <v>248</v>
      </c>
      <c r="Q97" s="13">
        <v>5.6820000000000004</v>
      </c>
      <c r="R97" s="11">
        <v>1</v>
      </c>
      <c r="S97" s="16">
        <v>0.7</v>
      </c>
      <c r="T97" s="13">
        <v>-3.7879999999999998</v>
      </c>
      <c r="U97" s="1" t="str">
        <f t="shared" si="4"/>
        <v>Loss</v>
      </c>
      <c r="V97" s="1" t="str">
        <f t="shared" si="5"/>
        <v>Low</v>
      </c>
    </row>
    <row r="98" spans="1:22" x14ac:dyDescent="0.35">
      <c r="A98" s="11">
        <v>97</v>
      </c>
      <c r="B98" s="10">
        <v>41953</v>
      </c>
      <c r="C98" s="11">
        <v>2014</v>
      </c>
      <c r="D98" s="12" t="s">
        <v>20</v>
      </c>
      <c r="E98" s="10">
        <v>41955</v>
      </c>
      <c r="F98" s="11">
        <f t="shared" si="3"/>
        <v>2</v>
      </c>
      <c r="G98" s="11" t="s">
        <v>21</v>
      </c>
      <c r="H98" s="11" t="s">
        <v>249</v>
      </c>
      <c r="I98" s="11" t="s">
        <v>76</v>
      </c>
      <c r="J98" s="11" t="s">
        <v>890</v>
      </c>
      <c r="K98" s="11" t="s">
        <v>170</v>
      </c>
      <c r="L98" s="11" t="s">
        <v>171</v>
      </c>
      <c r="M98" s="11" t="s">
        <v>106</v>
      </c>
      <c r="N98" s="11" t="s">
        <v>27</v>
      </c>
      <c r="O98" s="11" t="s">
        <v>51</v>
      </c>
      <c r="P98" s="11" t="s">
        <v>250</v>
      </c>
      <c r="Q98" s="13">
        <v>96.53</v>
      </c>
      <c r="R98" s="11">
        <v>7</v>
      </c>
      <c r="S98" s="16">
        <v>0</v>
      </c>
      <c r="T98" s="13">
        <v>40.5426</v>
      </c>
      <c r="U98" s="1" t="str">
        <f t="shared" si="4"/>
        <v>Profit</v>
      </c>
      <c r="V98" s="1" t="str">
        <f t="shared" si="5"/>
        <v>Low</v>
      </c>
    </row>
    <row r="99" spans="1:22" x14ac:dyDescent="0.35">
      <c r="A99" s="11">
        <v>98</v>
      </c>
      <c r="B99" s="10">
        <v>41808</v>
      </c>
      <c r="C99" s="11">
        <v>2014</v>
      </c>
      <c r="D99" s="12" t="s">
        <v>32</v>
      </c>
      <c r="E99" s="10">
        <v>41811</v>
      </c>
      <c r="F99" s="11">
        <f t="shared" si="3"/>
        <v>3</v>
      </c>
      <c r="G99" s="11" t="s">
        <v>128</v>
      </c>
      <c r="H99" s="11" t="s">
        <v>251</v>
      </c>
      <c r="I99" s="11" t="s">
        <v>23</v>
      </c>
      <c r="J99" s="11" t="s">
        <v>890</v>
      </c>
      <c r="K99" s="11" t="s">
        <v>93</v>
      </c>
      <c r="L99" s="11" t="s">
        <v>36</v>
      </c>
      <c r="M99" s="11" t="s">
        <v>37</v>
      </c>
      <c r="N99" s="11" t="s">
        <v>38</v>
      </c>
      <c r="O99" s="11" t="s">
        <v>58</v>
      </c>
      <c r="P99" s="11" t="s">
        <v>252</v>
      </c>
      <c r="Q99" s="13">
        <v>51.311999999999998</v>
      </c>
      <c r="R99" s="11">
        <v>3</v>
      </c>
      <c r="S99" s="16">
        <v>0.2</v>
      </c>
      <c r="T99" s="13">
        <v>17.959199999999999</v>
      </c>
      <c r="U99" s="1" t="str">
        <f t="shared" si="4"/>
        <v>Profit</v>
      </c>
      <c r="V99" s="1" t="str">
        <f t="shared" si="5"/>
        <v>Low</v>
      </c>
    </row>
    <row r="100" spans="1:22" x14ac:dyDescent="0.35">
      <c r="A100" s="11">
        <v>99</v>
      </c>
      <c r="B100" s="10">
        <v>41524</v>
      </c>
      <c r="C100" s="11">
        <v>2013</v>
      </c>
      <c r="D100" s="12" t="s">
        <v>108</v>
      </c>
      <c r="E100" s="10">
        <v>41529</v>
      </c>
      <c r="F100" s="11">
        <f t="shared" si="3"/>
        <v>5</v>
      </c>
      <c r="G100" s="11" t="s">
        <v>42</v>
      </c>
      <c r="H100" s="11" t="s">
        <v>253</v>
      </c>
      <c r="I100" s="11" t="s">
        <v>34</v>
      </c>
      <c r="J100" s="11" t="s">
        <v>890</v>
      </c>
      <c r="K100" s="11" t="s">
        <v>254</v>
      </c>
      <c r="L100" s="11" t="s">
        <v>150</v>
      </c>
      <c r="M100" s="11" t="s">
        <v>79</v>
      </c>
      <c r="N100" s="11" t="s">
        <v>38</v>
      </c>
      <c r="O100" s="11" t="s">
        <v>60</v>
      </c>
      <c r="P100" s="11" t="s">
        <v>255</v>
      </c>
      <c r="Q100" s="13">
        <v>77.88</v>
      </c>
      <c r="R100" s="11">
        <v>6</v>
      </c>
      <c r="S100" s="16">
        <v>0</v>
      </c>
      <c r="T100" s="13">
        <v>22.5852</v>
      </c>
      <c r="U100" s="1" t="str">
        <f t="shared" si="4"/>
        <v>Profit</v>
      </c>
      <c r="V100" s="1" t="str">
        <f t="shared" si="5"/>
        <v>Low</v>
      </c>
    </row>
    <row r="101" spans="1:22" x14ac:dyDescent="0.35">
      <c r="A101" s="11">
        <v>100</v>
      </c>
      <c r="B101" s="10">
        <v>41516</v>
      </c>
      <c r="C101" s="11">
        <v>2013</v>
      </c>
      <c r="D101" s="12" t="s">
        <v>91</v>
      </c>
      <c r="E101" s="10">
        <v>41520</v>
      </c>
      <c r="F101" s="11">
        <f t="shared" si="3"/>
        <v>4</v>
      </c>
      <c r="G101" s="11" t="s">
        <v>42</v>
      </c>
      <c r="H101" s="11" t="s">
        <v>256</v>
      </c>
      <c r="I101" s="11" t="s">
        <v>76</v>
      </c>
      <c r="J101" s="11" t="s">
        <v>890</v>
      </c>
      <c r="K101" s="11" t="s">
        <v>189</v>
      </c>
      <c r="L101" s="11" t="s">
        <v>140</v>
      </c>
      <c r="M101" s="11" t="s">
        <v>79</v>
      </c>
      <c r="N101" s="11" t="s">
        <v>38</v>
      </c>
      <c r="O101" s="11" t="s">
        <v>68</v>
      </c>
      <c r="P101" s="11" t="s">
        <v>257</v>
      </c>
      <c r="Q101" s="13">
        <v>64.623999999999995</v>
      </c>
      <c r="R101" s="11">
        <v>7</v>
      </c>
      <c r="S101" s="16">
        <v>0.2</v>
      </c>
      <c r="T101" s="13">
        <v>22.618400000000001</v>
      </c>
      <c r="U101" s="1" t="str">
        <f t="shared" si="4"/>
        <v>Profit</v>
      </c>
      <c r="V101" s="1" t="str">
        <f t="shared" si="5"/>
        <v>Low</v>
      </c>
    </row>
    <row r="102" spans="1:22" x14ac:dyDescent="0.35">
      <c r="A102" s="11">
        <v>101</v>
      </c>
      <c r="B102" s="10">
        <v>41516</v>
      </c>
      <c r="C102" s="11">
        <v>2013</v>
      </c>
      <c r="D102" s="12" t="s">
        <v>91</v>
      </c>
      <c r="E102" s="10">
        <v>41520</v>
      </c>
      <c r="F102" s="11">
        <f t="shared" si="3"/>
        <v>4</v>
      </c>
      <c r="G102" s="11" t="s">
        <v>42</v>
      </c>
      <c r="H102" s="11" t="s">
        <v>256</v>
      </c>
      <c r="I102" s="11" t="s">
        <v>76</v>
      </c>
      <c r="J102" s="11" t="s">
        <v>890</v>
      </c>
      <c r="K102" s="11" t="s">
        <v>189</v>
      </c>
      <c r="L102" s="11" t="s">
        <v>140</v>
      </c>
      <c r="M102" s="11" t="s">
        <v>79</v>
      </c>
      <c r="N102" s="11" t="s">
        <v>55</v>
      </c>
      <c r="O102" s="11" t="s">
        <v>114</v>
      </c>
      <c r="P102" s="11" t="s">
        <v>258</v>
      </c>
      <c r="Q102" s="13">
        <v>95.975999999999999</v>
      </c>
      <c r="R102" s="11">
        <v>3</v>
      </c>
      <c r="S102" s="16">
        <v>0.2</v>
      </c>
      <c r="T102" s="13">
        <v>-10.7973</v>
      </c>
      <c r="U102" s="1" t="str">
        <f t="shared" si="4"/>
        <v>Loss</v>
      </c>
      <c r="V102" s="1" t="str">
        <f t="shared" si="5"/>
        <v>Low</v>
      </c>
    </row>
    <row r="103" spans="1:22" x14ac:dyDescent="0.35">
      <c r="A103" s="11">
        <v>102</v>
      </c>
      <c r="B103" s="10">
        <v>41516</v>
      </c>
      <c r="C103" s="11">
        <v>2013</v>
      </c>
      <c r="D103" s="12" t="s">
        <v>91</v>
      </c>
      <c r="E103" s="10">
        <v>41520</v>
      </c>
      <c r="F103" s="11">
        <f t="shared" si="3"/>
        <v>4</v>
      </c>
      <c r="G103" s="11" t="s">
        <v>42</v>
      </c>
      <c r="H103" s="11" t="s">
        <v>256</v>
      </c>
      <c r="I103" s="11" t="s">
        <v>76</v>
      </c>
      <c r="J103" s="11" t="s">
        <v>890</v>
      </c>
      <c r="K103" s="11" t="s">
        <v>189</v>
      </c>
      <c r="L103" s="11" t="s">
        <v>140</v>
      </c>
      <c r="M103" s="11" t="s">
        <v>79</v>
      </c>
      <c r="N103" s="11" t="s">
        <v>38</v>
      </c>
      <c r="O103" s="11" t="s">
        <v>58</v>
      </c>
      <c r="P103" s="11" t="s">
        <v>259</v>
      </c>
      <c r="Q103" s="13">
        <v>1.788</v>
      </c>
      <c r="R103" s="11">
        <v>3</v>
      </c>
      <c r="S103" s="16">
        <v>0.8</v>
      </c>
      <c r="T103" s="13">
        <v>-3.0396000000000001</v>
      </c>
      <c r="U103" s="1" t="str">
        <f t="shared" si="4"/>
        <v>Loss</v>
      </c>
      <c r="V103" s="1" t="str">
        <f t="shared" si="5"/>
        <v>Low</v>
      </c>
    </row>
    <row r="104" spans="1:22" x14ac:dyDescent="0.35">
      <c r="A104" s="11">
        <v>103</v>
      </c>
      <c r="B104" s="10">
        <v>41610</v>
      </c>
      <c r="C104" s="11">
        <v>2013</v>
      </c>
      <c r="D104" s="12" t="s">
        <v>70</v>
      </c>
      <c r="E104" s="10">
        <v>41613</v>
      </c>
      <c r="F104" s="11">
        <f t="shared" si="3"/>
        <v>3</v>
      </c>
      <c r="G104" s="11" t="s">
        <v>21</v>
      </c>
      <c r="H104" s="11" t="s">
        <v>260</v>
      </c>
      <c r="I104" s="11" t="s">
        <v>23</v>
      </c>
      <c r="J104" s="11" t="s">
        <v>890</v>
      </c>
      <c r="K104" s="11" t="s">
        <v>232</v>
      </c>
      <c r="L104" s="11" t="s">
        <v>150</v>
      </c>
      <c r="M104" s="11" t="s">
        <v>79</v>
      </c>
      <c r="N104" s="11" t="s">
        <v>38</v>
      </c>
      <c r="O104" s="11" t="s">
        <v>68</v>
      </c>
      <c r="P104" s="11" t="s">
        <v>261</v>
      </c>
      <c r="Q104" s="13">
        <v>23.92</v>
      </c>
      <c r="R104" s="11">
        <v>4</v>
      </c>
      <c r="S104" s="16">
        <v>0</v>
      </c>
      <c r="T104" s="13">
        <v>11.720800000000001</v>
      </c>
      <c r="U104" s="1" t="str">
        <f t="shared" si="4"/>
        <v>Profit</v>
      </c>
      <c r="V104" s="1" t="str">
        <f t="shared" si="5"/>
        <v>Low</v>
      </c>
    </row>
    <row r="105" spans="1:22" x14ac:dyDescent="0.35">
      <c r="A105" s="11">
        <v>104</v>
      </c>
      <c r="B105" s="10">
        <v>41226</v>
      </c>
      <c r="C105" s="11">
        <v>2012</v>
      </c>
      <c r="D105" s="12" t="s">
        <v>20</v>
      </c>
      <c r="E105" s="10">
        <v>41230</v>
      </c>
      <c r="F105" s="11">
        <f t="shared" si="3"/>
        <v>4</v>
      </c>
      <c r="G105" s="11" t="s">
        <v>42</v>
      </c>
      <c r="H105" s="11" t="s">
        <v>262</v>
      </c>
      <c r="I105" s="11" t="s">
        <v>23</v>
      </c>
      <c r="J105" s="11" t="s">
        <v>890</v>
      </c>
      <c r="K105" s="11" t="s">
        <v>263</v>
      </c>
      <c r="L105" s="11" t="s">
        <v>264</v>
      </c>
      <c r="M105" s="11" t="s">
        <v>37</v>
      </c>
      <c r="N105" s="11" t="s">
        <v>55</v>
      </c>
      <c r="O105" s="11" t="s">
        <v>114</v>
      </c>
      <c r="P105" s="11" t="s">
        <v>265</v>
      </c>
      <c r="Q105" s="13">
        <v>238.89599999999999</v>
      </c>
      <c r="R105" s="11">
        <v>6</v>
      </c>
      <c r="S105" s="16">
        <v>0.2</v>
      </c>
      <c r="T105" s="13">
        <v>-26.875800000000002</v>
      </c>
      <c r="U105" s="1" t="str">
        <f t="shared" si="4"/>
        <v>Loss</v>
      </c>
      <c r="V105" s="1" t="str">
        <f t="shared" si="5"/>
        <v>Low</v>
      </c>
    </row>
    <row r="106" spans="1:22" x14ac:dyDescent="0.35">
      <c r="A106" s="11">
        <v>105</v>
      </c>
      <c r="B106" s="10">
        <v>41226</v>
      </c>
      <c r="C106" s="11">
        <v>2012</v>
      </c>
      <c r="D106" s="12" t="s">
        <v>20</v>
      </c>
      <c r="E106" s="10">
        <v>41230</v>
      </c>
      <c r="F106" s="11">
        <f t="shared" si="3"/>
        <v>4</v>
      </c>
      <c r="G106" s="11" t="s">
        <v>42</v>
      </c>
      <c r="H106" s="11" t="s">
        <v>262</v>
      </c>
      <c r="I106" s="11" t="s">
        <v>23</v>
      </c>
      <c r="J106" s="11" t="s">
        <v>890</v>
      </c>
      <c r="K106" s="11" t="s">
        <v>263</v>
      </c>
      <c r="L106" s="11" t="s">
        <v>264</v>
      </c>
      <c r="M106" s="11" t="s">
        <v>37</v>
      </c>
      <c r="N106" s="11" t="s">
        <v>27</v>
      </c>
      <c r="O106" s="11" t="s">
        <v>51</v>
      </c>
      <c r="P106" s="11" t="s">
        <v>266</v>
      </c>
      <c r="Q106" s="13">
        <v>102.36</v>
      </c>
      <c r="R106" s="11">
        <v>3</v>
      </c>
      <c r="S106" s="16">
        <v>0.2</v>
      </c>
      <c r="T106" s="13">
        <v>-3.8384999999999998</v>
      </c>
      <c r="U106" s="1" t="str">
        <f t="shared" si="4"/>
        <v>Loss</v>
      </c>
      <c r="V106" s="1" t="str">
        <f t="shared" si="5"/>
        <v>Low</v>
      </c>
    </row>
    <row r="107" spans="1:22" x14ac:dyDescent="0.35">
      <c r="A107" s="11">
        <v>106</v>
      </c>
      <c r="B107" s="10">
        <v>41226</v>
      </c>
      <c r="C107" s="11">
        <v>2012</v>
      </c>
      <c r="D107" s="12" t="s">
        <v>20</v>
      </c>
      <c r="E107" s="10">
        <v>41230</v>
      </c>
      <c r="F107" s="11">
        <f t="shared" si="3"/>
        <v>4</v>
      </c>
      <c r="G107" s="11" t="s">
        <v>42</v>
      </c>
      <c r="H107" s="11" t="s">
        <v>262</v>
      </c>
      <c r="I107" s="11" t="s">
        <v>23</v>
      </c>
      <c r="J107" s="11" t="s">
        <v>890</v>
      </c>
      <c r="K107" s="11" t="s">
        <v>263</v>
      </c>
      <c r="L107" s="11" t="s">
        <v>264</v>
      </c>
      <c r="M107" s="11" t="s">
        <v>37</v>
      </c>
      <c r="N107" s="11" t="s">
        <v>38</v>
      </c>
      <c r="O107" s="11" t="s">
        <v>58</v>
      </c>
      <c r="P107" s="11" t="s">
        <v>267</v>
      </c>
      <c r="Q107" s="13">
        <v>36.881999999999998</v>
      </c>
      <c r="R107" s="11">
        <v>3</v>
      </c>
      <c r="S107" s="16">
        <v>0.7</v>
      </c>
      <c r="T107" s="13">
        <v>-25.817399999999999</v>
      </c>
      <c r="U107" s="1" t="str">
        <f t="shared" si="4"/>
        <v>Loss</v>
      </c>
      <c r="V107" s="1" t="str">
        <f t="shared" si="5"/>
        <v>Low</v>
      </c>
    </row>
    <row r="108" spans="1:22" x14ac:dyDescent="0.35">
      <c r="A108" s="11">
        <v>107</v>
      </c>
      <c r="B108" s="10">
        <v>41967</v>
      </c>
      <c r="C108" s="11">
        <v>2014</v>
      </c>
      <c r="D108" s="12" t="s">
        <v>20</v>
      </c>
      <c r="E108" s="10">
        <v>41972</v>
      </c>
      <c r="F108" s="11">
        <f t="shared" si="3"/>
        <v>5</v>
      </c>
      <c r="G108" s="11" t="s">
        <v>42</v>
      </c>
      <c r="H108" s="11" t="s">
        <v>268</v>
      </c>
      <c r="I108" s="11" t="s">
        <v>23</v>
      </c>
      <c r="J108" s="11" t="s">
        <v>890</v>
      </c>
      <c r="K108" s="11" t="s">
        <v>269</v>
      </c>
      <c r="L108" s="11" t="s">
        <v>67</v>
      </c>
      <c r="M108" s="11" t="s">
        <v>26</v>
      </c>
      <c r="N108" s="11" t="s">
        <v>55</v>
      </c>
      <c r="O108" s="11" t="s">
        <v>114</v>
      </c>
      <c r="P108" s="11" t="s">
        <v>270</v>
      </c>
      <c r="Q108" s="13">
        <v>74.111999999999995</v>
      </c>
      <c r="R108" s="11">
        <v>8</v>
      </c>
      <c r="S108" s="16">
        <v>0.2</v>
      </c>
      <c r="T108" s="13">
        <v>17.601600000000001</v>
      </c>
      <c r="U108" s="1" t="str">
        <f t="shared" si="4"/>
        <v>Profit</v>
      </c>
      <c r="V108" s="1" t="str">
        <f t="shared" si="5"/>
        <v>Low</v>
      </c>
    </row>
    <row r="109" spans="1:22" x14ac:dyDescent="0.35">
      <c r="A109" s="11">
        <v>108</v>
      </c>
      <c r="B109" s="10">
        <v>41967</v>
      </c>
      <c r="C109" s="11">
        <v>2014</v>
      </c>
      <c r="D109" s="12" t="s">
        <v>20</v>
      </c>
      <c r="E109" s="10">
        <v>41972</v>
      </c>
      <c r="F109" s="11">
        <f t="shared" si="3"/>
        <v>5</v>
      </c>
      <c r="G109" s="11" t="s">
        <v>42</v>
      </c>
      <c r="H109" s="11" t="s">
        <v>268</v>
      </c>
      <c r="I109" s="11" t="s">
        <v>23</v>
      </c>
      <c r="J109" s="11" t="s">
        <v>890</v>
      </c>
      <c r="K109" s="11" t="s">
        <v>269</v>
      </c>
      <c r="L109" s="11" t="s">
        <v>67</v>
      </c>
      <c r="M109" s="11" t="s">
        <v>26</v>
      </c>
      <c r="N109" s="11" t="s">
        <v>55</v>
      </c>
      <c r="O109" s="11" t="s">
        <v>56</v>
      </c>
      <c r="P109" s="11" t="s">
        <v>271</v>
      </c>
      <c r="Q109" s="13">
        <v>27.992000000000001</v>
      </c>
      <c r="R109" s="11">
        <v>1</v>
      </c>
      <c r="S109" s="16">
        <v>0.2</v>
      </c>
      <c r="T109" s="13">
        <v>2.0994000000000002</v>
      </c>
      <c r="U109" s="1" t="str">
        <f t="shared" si="4"/>
        <v>Profit</v>
      </c>
      <c r="V109" s="1" t="str">
        <f t="shared" si="5"/>
        <v>Low</v>
      </c>
    </row>
    <row r="110" spans="1:22" x14ac:dyDescent="0.35">
      <c r="A110" s="11">
        <v>109</v>
      </c>
      <c r="B110" s="10">
        <v>41967</v>
      </c>
      <c r="C110" s="11">
        <v>2014</v>
      </c>
      <c r="D110" s="12" t="s">
        <v>20</v>
      </c>
      <c r="E110" s="10">
        <v>41972</v>
      </c>
      <c r="F110" s="11">
        <f t="shared" si="3"/>
        <v>5</v>
      </c>
      <c r="G110" s="11" t="s">
        <v>42</v>
      </c>
      <c r="H110" s="11" t="s">
        <v>268</v>
      </c>
      <c r="I110" s="11" t="s">
        <v>23</v>
      </c>
      <c r="J110" s="11" t="s">
        <v>890</v>
      </c>
      <c r="K110" s="11" t="s">
        <v>269</v>
      </c>
      <c r="L110" s="11" t="s">
        <v>67</v>
      </c>
      <c r="M110" s="11" t="s">
        <v>26</v>
      </c>
      <c r="N110" s="11" t="s">
        <v>38</v>
      </c>
      <c r="O110" s="11" t="s">
        <v>53</v>
      </c>
      <c r="P110" s="11" t="s">
        <v>272</v>
      </c>
      <c r="Q110" s="13">
        <v>3.3039999999999998</v>
      </c>
      <c r="R110" s="11">
        <v>1</v>
      </c>
      <c r="S110" s="16">
        <v>0.2</v>
      </c>
      <c r="T110" s="13">
        <v>1.0738000000000001</v>
      </c>
      <c r="U110" s="1" t="str">
        <f t="shared" si="4"/>
        <v>Profit</v>
      </c>
      <c r="V110" s="1" t="str">
        <f t="shared" si="5"/>
        <v>Low</v>
      </c>
    </row>
    <row r="111" spans="1:22" x14ac:dyDescent="0.35">
      <c r="A111" s="11">
        <v>110</v>
      </c>
      <c r="B111" s="10">
        <v>41197</v>
      </c>
      <c r="C111" s="11">
        <v>2012</v>
      </c>
      <c r="D111" s="12" t="s">
        <v>41</v>
      </c>
      <c r="E111" s="10">
        <v>41202</v>
      </c>
      <c r="F111" s="11">
        <f t="shared" si="3"/>
        <v>5</v>
      </c>
      <c r="G111" s="11" t="s">
        <v>42</v>
      </c>
      <c r="H111" s="11" t="s">
        <v>273</v>
      </c>
      <c r="I111" s="11" t="s">
        <v>76</v>
      </c>
      <c r="J111" s="11" t="s">
        <v>890</v>
      </c>
      <c r="K111" s="11" t="s">
        <v>274</v>
      </c>
      <c r="L111" s="11" t="s">
        <v>140</v>
      </c>
      <c r="M111" s="11" t="s">
        <v>79</v>
      </c>
      <c r="N111" s="11" t="s">
        <v>55</v>
      </c>
      <c r="O111" s="11" t="s">
        <v>114</v>
      </c>
      <c r="P111" s="11" t="s">
        <v>275</v>
      </c>
      <c r="Q111" s="13">
        <v>339.96</v>
      </c>
      <c r="R111" s="11">
        <v>5</v>
      </c>
      <c r="S111" s="16">
        <v>0.2</v>
      </c>
      <c r="T111" s="13">
        <v>67.992000000000004</v>
      </c>
      <c r="U111" s="1" t="str">
        <f t="shared" si="4"/>
        <v>Profit</v>
      </c>
      <c r="V111" s="1" t="str">
        <f t="shared" si="5"/>
        <v>Low</v>
      </c>
    </row>
    <row r="112" spans="1:22" x14ac:dyDescent="0.35">
      <c r="A112" s="11">
        <v>111</v>
      </c>
      <c r="B112" s="10">
        <v>41999</v>
      </c>
      <c r="C112" s="11">
        <v>2014</v>
      </c>
      <c r="D112" s="12" t="s">
        <v>70</v>
      </c>
      <c r="E112" s="10">
        <v>42004</v>
      </c>
      <c r="F112" s="11">
        <f t="shared" si="3"/>
        <v>5</v>
      </c>
      <c r="G112" s="11" t="s">
        <v>42</v>
      </c>
      <c r="H112" s="11" t="s">
        <v>276</v>
      </c>
      <c r="I112" s="11" t="s">
        <v>34</v>
      </c>
      <c r="J112" s="11" t="s">
        <v>890</v>
      </c>
      <c r="K112" s="11" t="s">
        <v>170</v>
      </c>
      <c r="L112" s="11" t="s">
        <v>171</v>
      </c>
      <c r="M112" s="11" t="s">
        <v>106</v>
      </c>
      <c r="N112" s="11" t="s">
        <v>27</v>
      </c>
      <c r="O112" s="11" t="s">
        <v>51</v>
      </c>
      <c r="P112" s="11" t="s">
        <v>277</v>
      </c>
      <c r="Q112" s="13">
        <v>41.96</v>
      </c>
      <c r="R112" s="11">
        <v>2</v>
      </c>
      <c r="S112" s="16">
        <v>0</v>
      </c>
      <c r="T112" s="13">
        <v>10.909599999999999</v>
      </c>
      <c r="U112" s="1" t="str">
        <f t="shared" si="4"/>
        <v>Profit</v>
      </c>
      <c r="V112" s="1" t="str">
        <f t="shared" si="5"/>
        <v>Low</v>
      </c>
    </row>
    <row r="113" spans="1:22" x14ac:dyDescent="0.35">
      <c r="A113" s="11">
        <v>112</v>
      </c>
      <c r="B113" s="10">
        <v>41582</v>
      </c>
      <c r="C113" s="11">
        <v>2013</v>
      </c>
      <c r="D113" s="12" t="s">
        <v>20</v>
      </c>
      <c r="E113" s="10">
        <v>41589</v>
      </c>
      <c r="F113" s="11">
        <f t="shared" si="3"/>
        <v>7</v>
      </c>
      <c r="G113" s="11" t="s">
        <v>42</v>
      </c>
      <c r="H113" s="11" t="s">
        <v>278</v>
      </c>
      <c r="I113" s="11" t="s">
        <v>23</v>
      </c>
      <c r="J113" s="11" t="s">
        <v>890</v>
      </c>
      <c r="K113" s="11" t="s">
        <v>279</v>
      </c>
      <c r="L113" s="11" t="s">
        <v>280</v>
      </c>
      <c r="M113" s="11" t="s">
        <v>79</v>
      </c>
      <c r="N113" s="11" t="s">
        <v>38</v>
      </c>
      <c r="O113" s="11" t="s">
        <v>53</v>
      </c>
      <c r="P113" s="11" t="s">
        <v>281</v>
      </c>
      <c r="Q113" s="13">
        <v>75.959999999999994</v>
      </c>
      <c r="R113" s="11">
        <v>2</v>
      </c>
      <c r="S113" s="16">
        <v>0</v>
      </c>
      <c r="T113" s="13">
        <v>22.788</v>
      </c>
      <c r="U113" s="1" t="str">
        <f t="shared" si="4"/>
        <v>Profit</v>
      </c>
      <c r="V113" s="1" t="str">
        <f t="shared" si="5"/>
        <v>Low</v>
      </c>
    </row>
    <row r="114" spans="1:22" x14ac:dyDescent="0.35">
      <c r="A114" s="11">
        <v>113</v>
      </c>
      <c r="B114" s="10">
        <v>41582</v>
      </c>
      <c r="C114" s="11">
        <v>2013</v>
      </c>
      <c r="D114" s="12" t="s">
        <v>20</v>
      </c>
      <c r="E114" s="10">
        <v>41589</v>
      </c>
      <c r="F114" s="11">
        <f t="shared" si="3"/>
        <v>7</v>
      </c>
      <c r="G114" s="11" t="s">
        <v>42</v>
      </c>
      <c r="H114" s="11" t="s">
        <v>278</v>
      </c>
      <c r="I114" s="11" t="s">
        <v>23</v>
      </c>
      <c r="J114" s="11" t="s">
        <v>890</v>
      </c>
      <c r="K114" s="11" t="s">
        <v>279</v>
      </c>
      <c r="L114" s="11" t="s">
        <v>280</v>
      </c>
      <c r="M114" s="11" t="s">
        <v>79</v>
      </c>
      <c r="N114" s="11" t="s">
        <v>38</v>
      </c>
      <c r="O114" s="11" t="s">
        <v>58</v>
      </c>
      <c r="P114" s="11" t="s">
        <v>282</v>
      </c>
      <c r="Q114" s="13">
        <v>27.24</v>
      </c>
      <c r="R114" s="11">
        <v>6</v>
      </c>
      <c r="S114" s="16">
        <v>0</v>
      </c>
      <c r="T114" s="13">
        <v>13.3476</v>
      </c>
      <c r="U114" s="1" t="str">
        <f t="shared" si="4"/>
        <v>Profit</v>
      </c>
      <c r="V114" s="1" t="str">
        <f t="shared" si="5"/>
        <v>Low</v>
      </c>
    </row>
    <row r="115" spans="1:22" x14ac:dyDescent="0.35">
      <c r="A115" s="11">
        <v>114</v>
      </c>
      <c r="B115" s="10">
        <v>40780</v>
      </c>
      <c r="C115" s="11">
        <v>2011</v>
      </c>
      <c r="D115" s="12" t="s">
        <v>91</v>
      </c>
      <c r="E115" s="10">
        <v>40782</v>
      </c>
      <c r="F115" s="11">
        <f t="shared" si="3"/>
        <v>2</v>
      </c>
      <c r="G115" s="11" t="s">
        <v>21</v>
      </c>
      <c r="H115" s="11" t="s">
        <v>283</v>
      </c>
      <c r="I115" s="11" t="s">
        <v>23</v>
      </c>
      <c r="J115" s="11" t="s">
        <v>890</v>
      </c>
      <c r="K115" s="11" t="s">
        <v>284</v>
      </c>
      <c r="L115" s="11" t="s">
        <v>285</v>
      </c>
      <c r="M115" s="11" t="s">
        <v>106</v>
      </c>
      <c r="N115" s="11" t="s">
        <v>38</v>
      </c>
      <c r="O115" s="11" t="s">
        <v>172</v>
      </c>
      <c r="P115" s="11" t="s">
        <v>286</v>
      </c>
      <c r="Q115" s="13">
        <v>40.095999999999997</v>
      </c>
      <c r="R115" s="11">
        <v>14</v>
      </c>
      <c r="S115" s="16">
        <v>0.2</v>
      </c>
      <c r="T115" s="13">
        <v>14.534800000000001</v>
      </c>
      <c r="U115" s="1" t="str">
        <f t="shared" si="4"/>
        <v>Profit</v>
      </c>
      <c r="V115" s="1" t="str">
        <f t="shared" si="5"/>
        <v>Low</v>
      </c>
    </row>
    <row r="116" spans="1:22" x14ac:dyDescent="0.35">
      <c r="A116" s="11">
        <v>115</v>
      </c>
      <c r="B116" s="10">
        <v>40780</v>
      </c>
      <c r="C116" s="11">
        <v>2011</v>
      </c>
      <c r="D116" s="12" t="s">
        <v>91</v>
      </c>
      <c r="E116" s="10">
        <v>40782</v>
      </c>
      <c r="F116" s="11">
        <f t="shared" si="3"/>
        <v>2</v>
      </c>
      <c r="G116" s="11" t="s">
        <v>21</v>
      </c>
      <c r="H116" s="11" t="s">
        <v>283</v>
      </c>
      <c r="I116" s="11" t="s">
        <v>23</v>
      </c>
      <c r="J116" s="11" t="s">
        <v>890</v>
      </c>
      <c r="K116" s="11" t="s">
        <v>284</v>
      </c>
      <c r="L116" s="11" t="s">
        <v>285</v>
      </c>
      <c r="M116" s="11" t="s">
        <v>106</v>
      </c>
      <c r="N116" s="11" t="s">
        <v>38</v>
      </c>
      <c r="O116" s="11" t="s">
        <v>120</v>
      </c>
      <c r="P116" s="11" t="s">
        <v>287</v>
      </c>
      <c r="Q116" s="13">
        <v>4.72</v>
      </c>
      <c r="R116" s="11">
        <v>2</v>
      </c>
      <c r="S116" s="16">
        <v>0.2</v>
      </c>
      <c r="T116" s="13">
        <v>1.6519999999999999</v>
      </c>
      <c r="U116" s="1" t="str">
        <f t="shared" si="4"/>
        <v>Profit</v>
      </c>
      <c r="V116" s="1" t="str">
        <f t="shared" si="5"/>
        <v>Low</v>
      </c>
    </row>
    <row r="117" spans="1:22" x14ac:dyDescent="0.35">
      <c r="A117" s="11">
        <v>116</v>
      </c>
      <c r="B117" s="10">
        <v>40780</v>
      </c>
      <c r="C117" s="11">
        <v>2011</v>
      </c>
      <c r="D117" s="12" t="s">
        <v>91</v>
      </c>
      <c r="E117" s="10">
        <v>40782</v>
      </c>
      <c r="F117" s="11">
        <f t="shared" si="3"/>
        <v>2</v>
      </c>
      <c r="G117" s="11" t="s">
        <v>21</v>
      </c>
      <c r="H117" s="11" t="s">
        <v>283</v>
      </c>
      <c r="I117" s="11" t="s">
        <v>23</v>
      </c>
      <c r="J117" s="11" t="s">
        <v>890</v>
      </c>
      <c r="K117" s="11" t="s">
        <v>284</v>
      </c>
      <c r="L117" s="11" t="s">
        <v>285</v>
      </c>
      <c r="M117" s="11" t="s">
        <v>106</v>
      </c>
      <c r="N117" s="11" t="s">
        <v>38</v>
      </c>
      <c r="O117" s="11" t="s">
        <v>68</v>
      </c>
      <c r="P117" s="11" t="s">
        <v>288</v>
      </c>
      <c r="Q117" s="13">
        <v>23.975999999999999</v>
      </c>
      <c r="R117" s="11">
        <v>3</v>
      </c>
      <c r="S117" s="16">
        <v>0.2</v>
      </c>
      <c r="T117" s="13">
        <v>7.4924999999999997</v>
      </c>
      <c r="U117" s="1" t="str">
        <f t="shared" si="4"/>
        <v>Profit</v>
      </c>
      <c r="V117" s="1" t="str">
        <f t="shared" si="5"/>
        <v>Low</v>
      </c>
    </row>
    <row r="118" spans="1:22" x14ac:dyDescent="0.35">
      <c r="A118" s="11">
        <v>117</v>
      </c>
      <c r="B118" s="10">
        <v>40780</v>
      </c>
      <c r="C118" s="11">
        <v>2011</v>
      </c>
      <c r="D118" s="12" t="s">
        <v>91</v>
      </c>
      <c r="E118" s="10">
        <v>40782</v>
      </c>
      <c r="F118" s="11">
        <f t="shared" si="3"/>
        <v>2</v>
      </c>
      <c r="G118" s="11" t="s">
        <v>21</v>
      </c>
      <c r="H118" s="11" t="s">
        <v>283</v>
      </c>
      <c r="I118" s="11" t="s">
        <v>23</v>
      </c>
      <c r="J118" s="11" t="s">
        <v>890</v>
      </c>
      <c r="K118" s="11" t="s">
        <v>284</v>
      </c>
      <c r="L118" s="11" t="s">
        <v>285</v>
      </c>
      <c r="M118" s="11" t="s">
        <v>106</v>
      </c>
      <c r="N118" s="11" t="s">
        <v>38</v>
      </c>
      <c r="O118" s="11" t="s">
        <v>120</v>
      </c>
      <c r="P118" s="11" t="s">
        <v>289</v>
      </c>
      <c r="Q118" s="13">
        <v>130.464</v>
      </c>
      <c r="R118" s="11">
        <v>6</v>
      </c>
      <c r="S118" s="16">
        <v>0.2</v>
      </c>
      <c r="T118" s="13">
        <v>44.031599999999997</v>
      </c>
      <c r="U118" s="1" t="str">
        <f t="shared" si="4"/>
        <v>Profit</v>
      </c>
      <c r="V118" s="1" t="str">
        <f t="shared" si="5"/>
        <v>Low</v>
      </c>
    </row>
    <row r="119" spans="1:22" x14ac:dyDescent="0.35">
      <c r="A119" s="11">
        <v>118</v>
      </c>
      <c r="B119" s="10">
        <v>40970</v>
      </c>
      <c r="C119" s="11">
        <v>2012</v>
      </c>
      <c r="D119" s="12" t="s">
        <v>147</v>
      </c>
      <c r="E119" s="10">
        <v>40974</v>
      </c>
      <c r="F119" s="11">
        <f t="shared" si="3"/>
        <v>4</v>
      </c>
      <c r="G119" s="11" t="s">
        <v>42</v>
      </c>
      <c r="H119" s="11" t="s">
        <v>290</v>
      </c>
      <c r="I119" s="11" t="s">
        <v>23</v>
      </c>
      <c r="J119" s="11" t="s">
        <v>890</v>
      </c>
      <c r="K119" s="11" t="s">
        <v>72</v>
      </c>
      <c r="L119" s="11" t="s">
        <v>73</v>
      </c>
      <c r="M119" s="11" t="s">
        <v>37</v>
      </c>
      <c r="N119" s="11" t="s">
        <v>27</v>
      </c>
      <c r="O119" s="11" t="s">
        <v>46</v>
      </c>
      <c r="P119" s="11" t="s">
        <v>291</v>
      </c>
      <c r="Q119" s="13">
        <v>787.53</v>
      </c>
      <c r="R119" s="11">
        <v>3</v>
      </c>
      <c r="S119" s="16">
        <v>0</v>
      </c>
      <c r="T119" s="13">
        <v>165.38130000000001</v>
      </c>
      <c r="U119" s="1" t="str">
        <f t="shared" si="4"/>
        <v>Profit</v>
      </c>
      <c r="V119" s="1" t="str">
        <f t="shared" si="5"/>
        <v>Medium</v>
      </c>
    </row>
    <row r="120" spans="1:22" x14ac:dyDescent="0.35">
      <c r="A120" s="11">
        <v>119</v>
      </c>
      <c r="B120" s="10">
        <v>41004</v>
      </c>
      <c r="C120" s="11">
        <v>2012</v>
      </c>
      <c r="D120" s="12" t="s">
        <v>64</v>
      </c>
      <c r="E120" s="10">
        <v>41009</v>
      </c>
      <c r="F120" s="11">
        <f t="shared" si="3"/>
        <v>5</v>
      </c>
      <c r="G120" s="11" t="s">
        <v>42</v>
      </c>
      <c r="H120" s="11" t="s">
        <v>292</v>
      </c>
      <c r="I120" s="11" t="s">
        <v>34</v>
      </c>
      <c r="J120" s="11" t="s">
        <v>890</v>
      </c>
      <c r="K120" s="11" t="s">
        <v>293</v>
      </c>
      <c r="L120" s="11" t="s">
        <v>206</v>
      </c>
      <c r="M120" s="11" t="s">
        <v>26</v>
      </c>
      <c r="N120" s="11" t="s">
        <v>38</v>
      </c>
      <c r="O120" s="11" t="s">
        <v>58</v>
      </c>
      <c r="P120" s="11" t="s">
        <v>294</v>
      </c>
      <c r="Q120" s="13">
        <v>157.79400000000001</v>
      </c>
      <c r="R120" s="11">
        <v>1</v>
      </c>
      <c r="S120" s="16">
        <v>0.7</v>
      </c>
      <c r="T120" s="13">
        <v>-115.71559999999999</v>
      </c>
      <c r="U120" s="1" t="str">
        <f t="shared" si="4"/>
        <v>Loss</v>
      </c>
      <c r="V120" s="1" t="str">
        <f t="shared" si="5"/>
        <v>Low</v>
      </c>
    </row>
    <row r="121" spans="1:22" x14ac:dyDescent="0.35">
      <c r="A121" s="11">
        <v>120</v>
      </c>
      <c r="B121" s="10">
        <v>41438</v>
      </c>
      <c r="C121" s="11">
        <v>2013</v>
      </c>
      <c r="D121" s="12" t="s">
        <v>32</v>
      </c>
      <c r="E121" s="10">
        <v>41441</v>
      </c>
      <c r="F121" s="11">
        <f t="shared" si="3"/>
        <v>3</v>
      </c>
      <c r="G121" s="11" t="s">
        <v>128</v>
      </c>
      <c r="H121" s="11" t="s">
        <v>295</v>
      </c>
      <c r="I121" s="11" t="s">
        <v>23</v>
      </c>
      <c r="J121" s="11" t="s">
        <v>890</v>
      </c>
      <c r="K121" s="11" t="s">
        <v>296</v>
      </c>
      <c r="L121" s="11" t="s">
        <v>159</v>
      </c>
      <c r="M121" s="11" t="s">
        <v>106</v>
      </c>
      <c r="N121" s="11" t="s">
        <v>27</v>
      </c>
      <c r="O121" s="11" t="s">
        <v>51</v>
      </c>
      <c r="P121" s="11" t="s">
        <v>297</v>
      </c>
      <c r="Q121" s="13">
        <v>47.04</v>
      </c>
      <c r="R121" s="11">
        <v>3</v>
      </c>
      <c r="S121" s="16">
        <v>0</v>
      </c>
      <c r="T121" s="13">
        <v>18.345600000000001</v>
      </c>
      <c r="U121" s="1" t="str">
        <f t="shared" si="4"/>
        <v>Profit</v>
      </c>
      <c r="V121" s="1" t="str">
        <f t="shared" si="5"/>
        <v>Low</v>
      </c>
    </row>
    <row r="122" spans="1:22" x14ac:dyDescent="0.35">
      <c r="A122" s="11">
        <v>121</v>
      </c>
      <c r="B122" s="10">
        <v>41438</v>
      </c>
      <c r="C122" s="11">
        <v>2013</v>
      </c>
      <c r="D122" s="12" t="s">
        <v>32</v>
      </c>
      <c r="E122" s="10">
        <v>41441</v>
      </c>
      <c r="F122" s="11">
        <f t="shared" si="3"/>
        <v>3</v>
      </c>
      <c r="G122" s="11" t="s">
        <v>128</v>
      </c>
      <c r="H122" s="11" t="s">
        <v>295</v>
      </c>
      <c r="I122" s="11" t="s">
        <v>23</v>
      </c>
      <c r="J122" s="11" t="s">
        <v>890</v>
      </c>
      <c r="K122" s="11" t="s">
        <v>296</v>
      </c>
      <c r="L122" s="11" t="s">
        <v>159</v>
      </c>
      <c r="M122" s="11" t="s">
        <v>106</v>
      </c>
      <c r="N122" s="11" t="s">
        <v>38</v>
      </c>
      <c r="O122" s="11" t="s">
        <v>58</v>
      </c>
      <c r="P122" s="11" t="s">
        <v>59</v>
      </c>
      <c r="Q122" s="13">
        <v>30.84</v>
      </c>
      <c r="R122" s="11">
        <v>4</v>
      </c>
      <c r="S122" s="16">
        <v>0</v>
      </c>
      <c r="T122" s="13">
        <v>13.878</v>
      </c>
      <c r="U122" s="1" t="str">
        <f t="shared" si="4"/>
        <v>Profit</v>
      </c>
      <c r="V122" s="1" t="str">
        <f t="shared" si="5"/>
        <v>Low</v>
      </c>
    </row>
    <row r="123" spans="1:22" x14ac:dyDescent="0.35">
      <c r="A123" s="11">
        <v>122</v>
      </c>
      <c r="B123" s="10">
        <v>41438</v>
      </c>
      <c r="C123" s="11">
        <v>2013</v>
      </c>
      <c r="D123" s="12" t="s">
        <v>32</v>
      </c>
      <c r="E123" s="10">
        <v>41441</v>
      </c>
      <c r="F123" s="11">
        <f t="shared" si="3"/>
        <v>3</v>
      </c>
      <c r="G123" s="11" t="s">
        <v>128</v>
      </c>
      <c r="H123" s="11" t="s">
        <v>295</v>
      </c>
      <c r="I123" s="11" t="s">
        <v>23</v>
      </c>
      <c r="J123" s="11" t="s">
        <v>890</v>
      </c>
      <c r="K123" s="11" t="s">
        <v>296</v>
      </c>
      <c r="L123" s="11" t="s">
        <v>159</v>
      </c>
      <c r="M123" s="11" t="s">
        <v>106</v>
      </c>
      <c r="N123" s="11" t="s">
        <v>38</v>
      </c>
      <c r="O123" s="11" t="s">
        <v>48</v>
      </c>
      <c r="P123" s="11" t="s">
        <v>298</v>
      </c>
      <c r="Q123" s="13">
        <v>226.56</v>
      </c>
      <c r="R123" s="11">
        <v>6</v>
      </c>
      <c r="S123" s="16">
        <v>0</v>
      </c>
      <c r="T123" s="13">
        <v>63.436799999999998</v>
      </c>
      <c r="U123" s="1" t="str">
        <f t="shared" si="4"/>
        <v>Profit</v>
      </c>
      <c r="V123" s="1" t="str">
        <f t="shared" si="5"/>
        <v>Low</v>
      </c>
    </row>
    <row r="124" spans="1:22" x14ac:dyDescent="0.35">
      <c r="A124" s="11">
        <v>123</v>
      </c>
      <c r="B124" s="10">
        <v>41438</v>
      </c>
      <c r="C124" s="11">
        <v>2013</v>
      </c>
      <c r="D124" s="12" t="s">
        <v>32</v>
      </c>
      <c r="E124" s="10">
        <v>41441</v>
      </c>
      <c r="F124" s="11">
        <f t="shared" si="3"/>
        <v>3</v>
      </c>
      <c r="G124" s="11" t="s">
        <v>128</v>
      </c>
      <c r="H124" s="11" t="s">
        <v>295</v>
      </c>
      <c r="I124" s="11" t="s">
        <v>23</v>
      </c>
      <c r="J124" s="11" t="s">
        <v>890</v>
      </c>
      <c r="K124" s="11" t="s">
        <v>296</v>
      </c>
      <c r="L124" s="11" t="s">
        <v>159</v>
      </c>
      <c r="M124" s="11" t="s">
        <v>106</v>
      </c>
      <c r="N124" s="11" t="s">
        <v>38</v>
      </c>
      <c r="O124" s="11" t="s">
        <v>120</v>
      </c>
      <c r="P124" s="11" t="s">
        <v>299</v>
      </c>
      <c r="Q124" s="13">
        <v>115.02</v>
      </c>
      <c r="R124" s="11">
        <v>9</v>
      </c>
      <c r="S124" s="16">
        <v>0</v>
      </c>
      <c r="T124" s="13">
        <v>51.759</v>
      </c>
      <c r="U124" s="1" t="str">
        <f t="shared" si="4"/>
        <v>Profit</v>
      </c>
      <c r="V124" s="1" t="str">
        <f t="shared" si="5"/>
        <v>Low</v>
      </c>
    </row>
    <row r="125" spans="1:22" x14ac:dyDescent="0.35">
      <c r="A125" s="11">
        <v>124</v>
      </c>
      <c r="B125" s="10">
        <v>41438</v>
      </c>
      <c r="C125" s="11">
        <v>2013</v>
      </c>
      <c r="D125" s="12" t="s">
        <v>32</v>
      </c>
      <c r="E125" s="10">
        <v>41441</v>
      </c>
      <c r="F125" s="11">
        <f t="shared" si="3"/>
        <v>3</v>
      </c>
      <c r="G125" s="11" t="s">
        <v>128</v>
      </c>
      <c r="H125" s="11" t="s">
        <v>295</v>
      </c>
      <c r="I125" s="11" t="s">
        <v>23</v>
      </c>
      <c r="J125" s="11" t="s">
        <v>890</v>
      </c>
      <c r="K125" s="11" t="s">
        <v>296</v>
      </c>
      <c r="L125" s="11" t="s">
        <v>159</v>
      </c>
      <c r="M125" s="11" t="s">
        <v>106</v>
      </c>
      <c r="N125" s="11" t="s">
        <v>55</v>
      </c>
      <c r="O125" s="11" t="s">
        <v>56</v>
      </c>
      <c r="P125" s="11" t="s">
        <v>300</v>
      </c>
      <c r="Q125" s="13">
        <v>68.040000000000006</v>
      </c>
      <c r="R125" s="11">
        <v>7</v>
      </c>
      <c r="S125" s="16">
        <v>0</v>
      </c>
      <c r="T125" s="13">
        <v>19.7316</v>
      </c>
      <c r="U125" s="1" t="str">
        <f t="shared" si="4"/>
        <v>Profit</v>
      </c>
      <c r="V125" s="1" t="str">
        <f t="shared" si="5"/>
        <v>Low</v>
      </c>
    </row>
    <row r="126" spans="1:22" x14ac:dyDescent="0.35">
      <c r="A126" s="11">
        <v>125</v>
      </c>
      <c r="B126" s="10">
        <v>40903</v>
      </c>
      <c r="C126" s="11">
        <v>2011</v>
      </c>
      <c r="D126" s="12" t="s">
        <v>70</v>
      </c>
      <c r="E126" s="10">
        <v>40905</v>
      </c>
      <c r="F126" s="11">
        <f t="shared" si="3"/>
        <v>2</v>
      </c>
      <c r="G126" s="11" t="s">
        <v>21</v>
      </c>
      <c r="H126" s="11" t="s">
        <v>301</v>
      </c>
      <c r="I126" s="11" t="s">
        <v>76</v>
      </c>
      <c r="J126" s="11" t="s">
        <v>890</v>
      </c>
      <c r="K126" s="11" t="s">
        <v>126</v>
      </c>
      <c r="L126" s="11" t="s">
        <v>78</v>
      </c>
      <c r="M126" s="11" t="s">
        <v>79</v>
      </c>
      <c r="N126" s="11" t="s">
        <v>27</v>
      </c>
      <c r="O126" s="11" t="s">
        <v>30</v>
      </c>
      <c r="P126" s="11" t="s">
        <v>302</v>
      </c>
      <c r="Q126" s="13">
        <v>600.55799999999999</v>
      </c>
      <c r="R126" s="11">
        <v>3</v>
      </c>
      <c r="S126" s="16">
        <v>0.3</v>
      </c>
      <c r="T126" s="13">
        <v>-8.5793999999999997</v>
      </c>
      <c r="U126" s="1" t="str">
        <f t="shared" si="4"/>
        <v>Loss</v>
      </c>
      <c r="V126" s="1" t="str">
        <f t="shared" si="5"/>
        <v>Medium</v>
      </c>
    </row>
    <row r="127" spans="1:22" x14ac:dyDescent="0.35">
      <c r="A127" s="11">
        <v>126</v>
      </c>
      <c r="B127" s="10">
        <v>40806</v>
      </c>
      <c r="C127" s="11">
        <v>2011</v>
      </c>
      <c r="D127" s="12" t="s">
        <v>108</v>
      </c>
      <c r="E127" s="10">
        <v>40811</v>
      </c>
      <c r="F127" s="11">
        <f t="shared" si="3"/>
        <v>5</v>
      </c>
      <c r="G127" s="11" t="s">
        <v>42</v>
      </c>
      <c r="H127" s="11" t="s">
        <v>303</v>
      </c>
      <c r="I127" s="11" t="s">
        <v>23</v>
      </c>
      <c r="J127" s="11" t="s">
        <v>890</v>
      </c>
      <c r="K127" s="11" t="s">
        <v>304</v>
      </c>
      <c r="L127" s="11" t="s">
        <v>140</v>
      </c>
      <c r="M127" s="11" t="s">
        <v>79</v>
      </c>
      <c r="N127" s="11" t="s">
        <v>27</v>
      </c>
      <c r="O127" s="11" t="s">
        <v>46</v>
      </c>
      <c r="P127" s="11" t="s">
        <v>305</v>
      </c>
      <c r="Q127" s="13">
        <v>617.70000000000005</v>
      </c>
      <c r="R127" s="11">
        <v>6</v>
      </c>
      <c r="S127" s="16">
        <v>0.5</v>
      </c>
      <c r="T127" s="13">
        <v>-407.68200000000002</v>
      </c>
      <c r="U127" s="1" t="str">
        <f t="shared" si="4"/>
        <v>Loss</v>
      </c>
      <c r="V127" s="1" t="str">
        <f t="shared" si="5"/>
        <v>Medium</v>
      </c>
    </row>
    <row r="128" spans="1:22" x14ac:dyDescent="0.35">
      <c r="A128" s="11">
        <v>127</v>
      </c>
      <c r="B128" s="10">
        <v>41949</v>
      </c>
      <c r="C128" s="11">
        <v>2014</v>
      </c>
      <c r="D128" s="12" t="s">
        <v>20</v>
      </c>
      <c r="E128" s="10">
        <v>41956</v>
      </c>
      <c r="F128" s="11">
        <f t="shared" si="3"/>
        <v>7</v>
      </c>
      <c r="G128" s="11" t="s">
        <v>42</v>
      </c>
      <c r="H128" s="11" t="s">
        <v>306</v>
      </c>
      <c r="I128" s="11" t="s">
        <v>23</v>
      </c>
      <c r="J128" s="11" t="s">
        <v>890</v>
      </c>
      <c r="K128" s="11" t="s">
        <v>307</v>
      </c>
      <c r="L128" s="11" t="s">
        <v>193</v>
      </c>
      <c r="M128" s="11" t="s">
        <v>37</v>
      </c>
      <c r="N128" s="11" t="s">
        <v>38</v>
      </c>
      <c r="O128" s="11" t="s">
        <v>58</v>
      </c>
      <c r="P128" s="11" t="s">
        <v>308</v>
      </c>
      <c r="Q128" s="13">
        <v>2.3879999999999999</v>
      </c>
      <c r="R128" s="11">
        <v>2</v>
      </c>
      <c r="S128" s="16">
        <v>0.7</v>
      </c>
      <c r="T128" s="13">
        <v>-1.8308</v>
      </c>
      <c r="U128" s="1" t="str">
        <f t="shared" si="4"/>
        <v>Loss</v>
      </c>
      <c r="V128" s="1" t="str">
        <f t="shared" si="5"/>
        <v>Low</v>
      </c>
    </row>
    <row r="129" spans="1:22" x14ac:dyDescent="0.35">
      <c r="A129" s="11">
        <v>128</v>
      </c>
      <c r="B129" s="10">
        <v>41949</v>
      </c>
      <c r="C129" s="11">
        <v>2014</v>
      </c>
      <c r="D129" s="12" t="s">
        <v>20</v>
      </c>
      <c r="E129" s="10">
        <v>41956</v>
      </c>
      <c r="F129" s="11">
        <f t="shared" si="3"/>
        <v>7</v>
      </c>
      <c r="G129" s="11" t="s">
        <v>42</v>
      </c>
      <c r="H129" s="11" t="s">
        <v>306</v>
      </c>
      <c r="I129" s="11" t="s">
        <v>23</v>
      </c>
      <c r="J129" s="11" t="s">
        <v>890</v>
      </c>
      <c r="K129" s="11" t="s">
        <v>307</v>
      </c>
      <c r="L129" s="11" t="s">
        <v>193</v>
      </c>
      <c r="M129" s="11" t="s">
        <v>37</v>
      </c>
      <c r="N129" s="11" t="s">
        <v>38</v>
      </c>
      <c r="O129" s="11" t="s">
        <v>48</v>
      </c>
      <c r="P129" s="11" t="s">
        <v>309</v>
      </c>
      <c r="Q129" s="13">
        <v>243.99199999999999</v>
      </c>
      <c r="R129" s="11">
        <v>7</v>
      </c>
      <c r="S129" s="16">
        <v>0.2</v>
      </c>
      <c r="T129" s="13">
        <v>30.498999999999999</v>
      </c>
      <c r="U129" s="1" t="str">
        <f t="shared" si="4"/>
        <v>Profit</v>
      </c>
      <c r="V129" s="1" t="str">
        <f t="shared" si="5"/>
        <v>Low</v>
      </c>
    </row>
    <row r="130" spans="1:22" x14ac:dyDescent="0.35">
      <c r="A130" s="11">
        <v>129</v>
      </c>
      <c r="B130" s="10">
        <v>41585</v>
      </c>
      <c r="C130" s="11">
        <v>2013</v>
      </c>
      <c r="D130" s="12" t="s">
        <v>20</v>
      </c>
      <c r="E130" s="10">
        <v>41589</v>
      </c>
      <c r="F130" s="11">
        <f t="shared" ref="F130:F193" si="6">_xlfn.DAYS(E130,B130)</f>
        <v>4</v>
      </c>
      <c r="G130" s="11" t="s">
        <v>21</v>
      </c>
      <c r="H130" s="11" t="s">
        <v>310</v>
      </c>
      <c r="I130" s="11" t="s">
        <v>76</v>
      </c>
      <c r="J130" s="11" t="s">
        <v>890</v>
      </c>
      <c r="K130" s="11" t="s">
        <v>35</v>
      </c>
      <c r="L130" s="11" t="s">
        <v>36</v>
      </c>
      <c r="M130" s="11" t="s">
        <v>37</v>
      </c>
      <c r="N130" s="11" t="s">
        <v>27</v>
      </c>
      <c r="O130" s="11" t="s">
        <v>30</v>
      </c>
      <c r="P130" s="11" t="s">
        <v>311</v>
      </c>
      <c r="Q130" s="13">
        <v>81.424000000000007</v>
      </c>
      <c r="R130" s="11">
        <v>2</v>
      </c>
      <c r="S130" s="16">
        <v>0.2</v>
      </c>
      <c r="T130" s="13">
        <v>-9.1601999999999997</v>
      </c>
      <c r="U130" s="1" t="str">
        <f t="shared" si="4"/>
        <v>Loss</v>
      </c>
      <c r="V130" s="1" t="str">
        <f t="shared" si="5"/>
        <v>Low</v>
      </c>
    </row>
    <row r="131" spans="1:22" x14ac:dyDescent="0.35">
      <c r="A131" s="11">
        <v>130</v>
      </c>
      <c r="B131" s="10">
        <v>41585</v>
      </c>
      <c r="C131" s="11">
        <v>2013</v>
      </c>
      <c r="D131" s="12" t="s">
        <v>20</v>
      </c>
      <c r="E131" s="10">
        <v>41589</v>
      </c>
      <c r="F131" s="11">
        <f t="shared" si="6"/>
        <v>4</v>
      </c>
      <c r="G131" s="11" t="s">
        <v>21</v>
      </c>
      <c r="H131" s="11" t="s">
        <v>310</v>
      </c>
      <c r="I131" s="11" t="s">
        <v>76</v>
      </c>
      <c r="J131" s="11" t="s">
        <v>890</v>
      </c>
      <c r="K131" s="11" t="s">
        <v>35</v>
      </c>
      <c r="L131" s="11" t="s">
        <v>36</v>
      </c>
      <c r="M131" s="11" t="s">
        <v>37</v>
      </c>
      <c r="N131" s="11" t="s">
        <v>27</v>
      </c>
      <c r="O131" s="11" t="s">
        <v>51</v>
      </c>
      <c r="P131" s="11" t="s">
        <v>312</v>
      </c>
      <c r="Q131" s="13">
        <v>238.56</v>
      </c>
      <c r="R131" s="11">
        <v>3</v>
      </c>
      <c r="S131" s="16">
        <v>0</v>
      </c>
      <c r="T131" s="13">
        <v>26.241599999999998</v>
      </c>
      <c r="U131" s="1" t="str">
        <f t="shared" ref="U131:U194" si="7">IF(T131&gt;0,"Profit","Loss")</f>
        <v>Profit</v>
      </c>
      <c r="V131" s="1" t="str">
        <f t="shared" ref="V131:V194" si="8">IF(Q131&gt;=1000,"High",IF(Q131&gt;=500,"Medium","Low"))</f>
        <v>Low</v>
      </c>
    </row>
    <row r="132" spans="1:22" x14ac:dyDescent="0.35">
      <c r="A132" s="11">
        <v>131</v>
      </c>
      <c r="B132" s="10">
        <v>41673</v>
      </c>
      <c r="C132" s="11">
        <v>2014</v>
      </c>
      <c r="D132" s="12" t="s">
        <v>313</v>
      </c>
      <c r="E132" s="10">
        <v>41676</v>
      </c>
      <c r="F132" s="11">
        <f t="shared" si="6"/>
        <v>3</v>
      </c>
      <c r="G132" s="11" t="s">
        <v>128</v>
      </c>
      <c r="H132" s="11" t="s">
        <v>314</v>
      </c>
      <c r="I132" s="11" t="s">
        <v>34</v>
      </c>
      <c r="J132" s="11" t="s">
        <v>890</v>
      </c>
      <c r="K132" s="11" t="s">
        <v>284</v>
      </c>
      <c r="L132" s="11" t="s">
        <v>285</v>
      </c>
      <c r="M132" s="11" t="s">
        <v>106</v>
      </c>
      <c r="N132" s="11" t="s">
        <v>55</v>
      </c>
      <c r="O132" s="11" t="s">
        <v>56</v>
      </c>
      <c r="P132" s="11" t="s">
        <v>315</v>
      </c>
      <c r="Q132" s="13">
        <v>59.97</v>
      </c>
      <c r="R132" s="11">
        <v>5</v>
      </c>
      <c r="S132" s="16">
        <v>0.4</v>
      </c>
      <c r="T132" s="13">
        <v>-11.994</v>
      </c>
      <c r="U132" s="1" t="str">
        <f t="shared" si="7"/>
        <v>Loss</v>
      </c>
      <c r="V132" s="1" t="str">
        <f t="shared" si="8"/>
        <v>Low</v>
      </c>
    </row>
    <row r="133" spans="1:22" x14ac:dyDescent="0.35">
      <c r="A133" s="11">
        <v>132</v>
      </c>
      <c r="B133" s="10">
        <v>41673</v>
      </c>
      <c r="C133" s="11">
        <v>2014</v>
      </c>
      <c r="D133" s="12" t="s">
        <v>313</v>
      </c>
      <c r="E133" s="10">
        <v>41676</v>
      </c>
      <c r="F133" s="11">
        <f t="shared" si="6"/>
        <v>3</v>
      </c>
      <c r="G133" s="11" t="s">
        <v>128</v>
      </c>
      <c r="H133" s="11" t="s">
        <v>314</v>
      </c>
      <c r="I133" s="11" t="s">
        <v>34</v>
      </c>
      <c r="J133" s="11" t="s">
        <v>890</v>
      </c>
      <c r="K133" s="11" t="s">
        <v>284</v>
      </c>
      <c r="L133" s="11" t="s">
        <v>285</v>
      </c>
      <c r="M133" s="11" t="s">
        <v>106</v>
      </c>
      <c r="N133" s="11" t="s">
        <v>38</v>
      </c>
      <c r="O133" s="11" t="s">
        <v>68</v>
      </c>
      <c r="P133" s="11" t="s">
        <v>316</v>
      </c>
      <c r="Q133" s="13">
        <v>78.304000000000002</v>
      </c>
      <c r="R133" s="11">
        <v>2</v>
      </c>
      <c r="S133" s="16">
        <v>0.2</v>
      </c>
      <c r="T133" s="13">
        <v>29.364000000000001</v>
      </c>
      <c r="U133" s="1" t="str">
        <f t="shared" si="7"/>
        <v>Profit</v>
      </c>
      <c r="V133" s="1" t="str">
        <f t="shared" si="8"/>
        <v>Low</v>
      </c>
    </row>
    <row r="134" spans="1:22" x14ac:dyDescent="0.35">
      <c r="A134" s="11">
        <v>133</v>
      </c>
      <c r="B134" s="10">
        <v>41673</v>
      </c>
      <c r="C134" s="11">
        <v>2014</v>
      </c>
      <c r="D134" s="12" t="s">
        <v>313</v>
      </c>
      <c r="E134" s="10">
        <v>41676</v>
      </c>
      <c r="F134" s="11">
        <f t="shared" si="6"/>
        <v>3</v>
      </c>
      <c r="G134" s="11" t="s">
        <v>128</v>
      </c>
      <c r="H134" s="11" t="s">
        <v>314</v>
      </c>
      <c r="I134" s="11" t="s">
        <v>34</v>
      </c>
      <c r="J134" s="11" t="s">
        <v>890</v>
      </c>
      <c r="K134" s="11" t="s">
        <v>284</v>
      </c>
      <c r="L134" s="11" t="s">
        <v>285</v>
      </c>
      <c r="M134" s="11" t="s">
        <v>106</v>
      </c>
      <c r="N134" s="11" t="s">
        <v>38</v>
      </c>
      <c r="O134" s="11" t="s">
        <v>172</v>
      </c>
      <c r="P134" s="11" t="s">
        <v>127</v>
      </c>
      <c r="Q134" s="13">
        <v>21.456</v>
      </c>
      <c r="R134" s="11">
        <v>9</v>
      </c>
      <c r="S134" s="16">
        <v>0.2</v>
      </c>
      <c r="T134" s="13">
        <v>6.9732000000000003</v>
      </c>
      <c r="U134" s="1" t="str">
        <f t="shared" si="7"/>
        <v>Profit</v>
      </c>
      <c r="V134" s="1" t="str">
        <f t="shared" si="8"/>
        <v>Low</v>
      </c>
    </row>
    <row r="135" spans="1:22" x14ac:dyDescent="0.35">
      <c r="A135" s="11">
        <v>134</v>
      </c>
      <c r="B135" s="10">
        <v>41561</v>
      </c>
      <c r="C135" s="11">
        <v>2013</v>
      </c>
      <c r="D135" s="12" t="s">
        <v>41</v>
      </c>
      <c r="E135" s="10">
        <v>41567</v>
      </c>
      <c r="F135" s="11">
        <f t="shared" si="6"/>
        <v>6</v>
      </c>
      <c r="G135" s="11" t="s">
        <v>42</v>
      </c>
      <c r="H135" s="11" t="s">
        <v>317</v>
      </c>
      <c r="I135" s="11" t="s">
        <v>23</v>
      </c>
      <c r="J135" s="11" t="s">
        <v>890</v>
      </c>
      <c r="K135" s="11" t="s">
        <v>318</v>
      </c>
      <c r="L135" s="11" t="s">
        <v>36</v>
      </c>
      <c r="M135" s="11" t="s">
        <v>37</v>
      </c>
      <c r="N135" s="11" t="s">
        <v>38</v>
      </c>
      <c r="O135" s="11" t="s">
        <v>68</v>
      </c>
      <c r="P135" s="11" t="s">
        <v>319</v>
      </c>
      <c r="Q135" s="13">
        <v>20.04</v>
      </c>
      <c r="R135" s="11">
        <v>3</v>
      </c>
      <c r="S135" s="16">
        <v>0</v>
      </c>
      <c r="T135" s="13">
        <v>9.6191999999999993</v>
      </c>
      <c r="U135" s="1" t="str">
        <f t="shared" si="7"/>
        <v>Profit</v>
      </c>
      <c r="V135" s="1" t="str">
        <f t="shared" si="8"/>
        <v>Low</v>
      </c>
    </row>
    <row r="136" spans="1:22" x14ac:dyDescent="0.35">
      <c r="A136" s="11">
        <v>135</v>
      </c>
      <c r="B136" s="10">
        <v>41561</v>
      </c>
      <c r="C136" s="11">
        <v>2013</v>
      </c>
      <c r="D136" s="12" t="s">
        <v>41</v>
      </c>
      <c r="E136" s="10">
        <v>41567</v>
      </c>
      <c r="F136" s="11">
        <f t="shared" si="6"/>
        <v>6</v>
      </c>
      <c r="G136" s="11" t="s">
        <v>42</v>
      </c>
      <c r="H136" s="11" t="s">
        <v>317</v>
      </c>
      <c r="I136" s="11" t="s">
        <v>23</v>
      </c>
      <c r="J136" s="11" t="s">
        <v>890</v>
      </c>
      <c r="K136" s="11" t="s">
        <v>318</v>
      </c>
      <c r="L136" s="11" t="s">
        <v>36</v>
      </c>
      <c r="M136" s="11" t="s">
        <v>37</v>
      </c>
      <c r="N136" s="11" t="s">
        <v>38</v>
      </c>
      <c r="O136" s="11" t="s">
        <v>68</v>
      </c>
      <c r="P136" s="11" t="s">
        <v>320</v>
      </c>
      <c r="Q136" s="13">
        <v>35.44</v>
      </c>
      <c r="R136" s="11">
        <v>1</v>
      </c>
      <c r="S136" s="16">
        <v>0</v>
      </c>
      <c r="T136" s="13">
        <v>16.6568</v>
      </c>
      <c r="U136" s="1" t="str">
        <f t="shared" si="7"/>
        <v>Profit</v>
      </c>
      <c r="V136" s="1" t="str">
        <f t="shared" si="8"/>
        <v>Low</v>
      </c>
    </row>
    <row r="137" spans="1:22" x14ac:dyDescent="0.35">
      <c r="A137" s="11">
        <v>136</v>
      </c>
      <c r="B137" s="10">
        <v>41561</v>
      </c>
      <c r="C137" s="11">
        <v>2013</v>
      </c>
      <c r="D137" s="12" t="s">
        <v>41</v>
      </c>
      <c r="E137" s="10">
        <v>41567</v>
      </c>
      <c r="F137" s="11">
        <f t="shared" si="6"/>
        <v>6</v>
      </c>
      <c r="G137" s="11" t="s">
        <v>42</v>
      </c>
      <c r="H137" s="11" t="s">
        <v>317</v>
      </c>
      <c r="I137" s="11" t="s">
        <v>23</v>
      </c>
      <c r="J137" s="11" t="s">
        <v>890</v>
      </c>
      <c r="K137" s="11" t="s">
        <v>318</v>
      </c>
      <c r="L137" s="11" t="s">
        <v>36</v>
      </c>
      <c r="M137" s="11" t="s">
        <v>37</v>
      </c>
      <c r="N137" s="11" t="s">
        <v>38</v>
      </c>
      <c r="O137" s="11" t="s">
        <v>53</v>
      </c>
      <c r="P137" s="11" t="s">
        <v>321</v>
      </c>
      <c r="Q137" s="13">
        <v>11.52</v>
      </c>
      <c r="R137" s="11">
        <v>4</v>
      </c>
      <c r="S137" s="16">
        <v>0</v>
      </c>
      <c r="T137" s="13">
        <v>3.456</v>
      </c>
      <c r="U137" s="1" t="str">
        <f t="shared" si="7"/>
        <v>Profit</v>
      </c>
      <c r="V137" s="1" t="str">
        <f t="shared" si="8"/>
        <v>Low</v>
      </c>
    </row>
    <row r="138" spans="1:22" x14ac:dyDescent="0.35">
      <c r="A138" s="11">
        <v>137</v>
      </c>
      <c r="B138" s="10">
        <v>41561</v>
      </c>
      <c r="C138" s="11">
        <v>2013</v>
      </c>
      <c r="D138" s="12" t="s">
        <v>41</v>
      </c>
      <c r="E138" s="10">
        <v>41567</v>
      </c>
      <c r="F138" s="11">
        <f t="shared" si="6"/>
        <v>6</v>
      </c>
      <c r="G138" s="11" t="s">
        <v>42</v>
      </c>
      <c r="H138" s="11" t="s">
        <v>317</v>
      </c>
      <c r="I138" s="11" t="s">
        <v>23</v>
      </c>
      <c r="J138" s="11" t="s">
        <v>890</v>
      </c>
      <c r="K138" s="11" t="s">
        <v>318</v>
      </c>
      <c r="L138" s="11" t="s">
        <v>36</v>
      </c>
      <c r="M138" s="11" t="s">
        <v>37</v>
      </c>
      <c r="N138" s="11" t="s">
        <v>38</v>
      </c>
      <c r="O138" s="11" t="s">
        <v>172</v>
      </c>
      <c r="P138" s="11" t="s">
        <v>322</v>
      </c>
      <c r="Q138" s="13">
        <v>4.0199999999999996</v>
      </c>
      <c r="R138" s="11">
        <v>2</v>
      </c>
      <c r="S138" s="16">
        <v>0</v>
      </c>
      <c r="T138" s="13">
        <v>1.9698</v>
      </c>
      <c r="U138" s="1" t="str">
        <f t="shared" si="7"/>
        <v>Profit</v>
      </c>
      <c r="V138" s="1" t="str">
        <f t="shared" si="8"/>
        <v>Low</v>
      </c>
    </row>
    <row r="139" spans="1:22" x14ac:dyDescent="0.35">
      <c r="A139" s="11">
        <v>138</v>
      </c>
      <c r="B139" s="10">
        <v>41561</v>
      </c>
      <c r="C139" s="11">
        <v>2013</v>
      </c>
      <c r="D139" s="12" t="s">
        <v>41</v>
      </c>
      <c r="E139" s="10">
        <v>41567</v>
      </c>
      <c r="F139" s="11">
        <f t="shared" si="6"/>
        <v>6</v>
      </c>
      <c r="G139" s="11" t="s">
        <v>42</v>
      </c>
      <c r="H139" s="11" t="s">
        <v>317</v>
      </c>
      <c r="I139" s="11" t="s">
        <v>23</v>
      </c>
      <c r="J139" s="11" t="s">
        <v>890</v>
      </c>
      <c r="K139" s="11" t="s">
        <v>318</v>
      </c>
      <c r="L139" s="11" t="s">
        <v>36</v>
      </c>
      <c r="M139" s="11" t="s">
        <v>37</v>
      </c>
      <c r="N139" s="11" t="s">
        <v>38</v>
      </c>
      <c r="O139" s="11" t="s">
        <v>58</v>
      </c>
      <c r="P139" s="11" t="s">
        <v>323</v>
      </c>
      <c r="Q139" s="13">
        <v>76.176000000000002</v>
      </c>
      <c r="R139" s="11">
        <v>3</v>
      </c>
      <c r="S139" s="16">
        <v>0.2</v>
      </c>
      <c r="T139" s="13">
        <v>26.6616</v>
      </c>
      <c r="U139" s="1" t="str">
        <f t="shared" si="7"/>
        <v>Profit</v>
      </c>
      <c r="V139" s="1" t="str">
        <f t="shared" si="8"/>
        <v>Low</v>
      </c>
    </row>
    <row r="140" spans="1:22" x14ac:dyDescent="0.35">
      <c r="A140" s="11">
        <v>139</v>
      </c>
      <c r="B140" s="10">
        <v>41561</v>
      </c>
      <c r="C140" s="11">
        <v>2013</v>
      </c>
      <c r="D140" s="12" t="s">
        <v>41</v>
      </c>
      <c r="E140" s="10">
        <v>41567</v>
      </c>
      <c r="F140" s="11">
        <f t="shared" si="6"/>
        <v>6</v>
      </c>
      <c r="G140" s="11" t="s">
        <v>42</v>
      </c>
      <c r="H140" s="11" t="s">
        <v>317</v>
      </c>
      <c r="I140" s="11" t="s">
        <v>23</v>
      </c>
      <c r="J140" s="11" t="s">
        <v>890</v>
      </c>
      <c r="K140" s="11" t="s">
        <v>318</v>
      </c>
      <c r="L140" s="11" t="s">
        <v>36</v>
      </c>
      <c r="M140" s="11" t="s">
        <v>37</v>
      </c>
      <c r="N140" s="11" t="s">
        <v>38</v>
      </c>
      <c r="O140" s="11" t="s">
        <v>324</v>
      </c>
      <c r="P140" s="11" t="s">
        <v>325</v>
      </c>
      <c r="Q140" s="13">
        <v>65.88</v>
      </c>
      <c r="R140" s="11">
        <v>6</v>
      </c>
      <c r="S140" s="16">
        <v>0</v>
      </c>
      <c r="T140" s="13">
        <v>18.446400000000001</v>
      </c>
      <c r="U140" s="1" t="str">
        <f t="shared" si="7"/>
        <v>Profit</v>
      </c>
      <c r="V140" s="1" t="str">
        <f t="shared" si="8"/>
        <v>Low</v>
      </c>
    </row>
    <row r="141" spans="1:22" x14ac:dyDescent="0.35">
      <c r="A141" s="11">
        <v>140</v>
      </c>
      <c r="B141" s="10">
        <v>41561</v>
      </c>
      <c r="C141" s="11">
        <v>2013</v>
      </c>
      <c r="D141" s="12" t="s">
        <v>41</v>
      </c>
      <c r="E141" s="10">
        <v>41567</v>
      </c>
      <c r="F141" s="11">
        <f t="shared" si="6"/>
        <v>6</v>
      </c>
      <c r="G141" s="11" t="s">
        <v>42</v>
      </c>
      <c r="H141" s="11" t="s">
        <v>317</v>
      </c>
      <c r="I141" s="11" t="s">
        <v>23</v>
      </c>
      <c r="J141" s="11" t="s">
        <v>890</v>
      </c>
      <c r="K141" s="11" t="s">
        <v>318</v>
      </c>
      <c r="L141" s="11" t="s">
        <v>36</v>
      </c>
      <c r="M141" s="11" t="s">
        <v>37</v>
      </c>
      <c r="N141" s="11" t="s">
        <v>27</v>
      </c>
      <c r="O141" s="11" t="s">
        <v>51</v>
      </c>
      <c r="P141" s="11" t="s">
        <v>167</v>
      </c>
      <c r="Q141" s="13">
        <v>43.12</v>
      </c>
      <c r="R141" s="11">
        <v>14</v>
      </c>
      <c r="S141" s="16">
        <v>0</v>
      </c>
      <c r="T141" s="13">
        <v>20.697600000000001</v>
      </c>
      <c r="U141" s="1" t="str">
        <f t="shared" si="7"/>
        <v>Profit</v>
      </c>
      <c r="V141" s="1" t="str">
        <f t="shared" si="8"/>
        <v>Low</v>
      </c>
    </row>
    <row r="142" spans="1:22" x14ac:dyDescent="0.35">
      <c r="A142" s="11">
        <v>141</v>
      </c>
      <c r="B142" s="10">
        <v>41523</v>
      </c>
      <c r="C142" s="11">
        <v>2013</v>
      </c>
      <c r="D142" s="12" t="s">
        <v>108</v>
      </c>
      <c r="E142" s="10">
        <v>41525</v>
      </c>
      <c r="F142" s="11">
        <f t="shared" si="6"/>
        <v>2</v>
      </c>
      <c r="G142" s="11" t="s">
        <v>21</v>
      </c>
      <c r="H142" s="11" t="s">
        <v>326</v>
      </c>
      <c r="I142" s="11" t="s">
        <v>34</v>
      </c>
      <c r="J142" s="11" t="s">
        <v>890</v>
      </c>
      <c r="K142" s="11" t="s">
        <v>104</v>
      </c>
      <c r="L142" s="11" t="s">
        <v>105</v>
      </c>
      <c r="M142" s="11" t="s">
        <v>106</v>
      </c>
      <c r="N142" s="11" t="s">
        <v>27</v>
      </c>
      <c r="O142" s="11" t="s">
        <v>51</v>
      </c>
      <c r="P142" s="11" t="s">
        <v>119</v>
      </c>
      <c r="Q142" s="13">
        <v>82.8</v>
      </c>
      <c r="R142" s="11">
        <v>2</v>
      </c>
      <c r="S142" s="16">
        <v>0.2</v>
      </c>
      <c r="T142" s="13">
        <v>10.35</v>
      </c>
      <c r="U142" s="1" t="str">
        <f t="shared" si="7"/>
        <v>Profit</v>
      </c>
      <c r="V142" s="1" t="str">
        <f t="shared" si="8"/>
        <v>Low</v>
      </c>
    </row>
    <row r="143" spans="1:22" x14ac:dyDescent="0.35">
      <c r="A143" s="11">
        <v>142</v>
      </c>
      <c r="B143" s="10">
        <v>41901</v>
      </c>
      <c r="C143" s="11">
        <v>2014</v>
      </c>
      <c r="D143" s="12" t="s">
        <v>108</v>
      </c>
      <c r="E143" s="10">
        <v>41906</v>
      </c>
      <c r="F143" s="11">
        <f t="shared" si="6"/>
        <v>5</v>
      </c>
      <c r="G143" s="11" t="s">
        <v>42</v>
      </c>
      <c r="H143" s="11" t="s">
        <v>327</v>
      </c>
      <c r="I143" s="11" t="s">
        <v>34</v>
      </c>
      <c r="J143" s="11" t="s">
        <v>890</v>
      </c>
      <c r="K143" s="11" t="s">
        <v>93</v>
      </c>
      <c r="L143" s="11" t="s">
        <v>36</v>
      </c>
      <c r="M143" s="11" t="s">
        <v>37</v>
      </c>
      <c r="N143" s="11" t="s">
        <v>38</v>
      </c>
      <c r="O143" s="11" t="s">
        <v>53</v>
      </c>
      <c r="P143" s="11" t="s">
        <v>328</v>
      </c>
      <c r="Q143" s="13">
        <v>8.82</v>
      </c>
      <c r="R143" s="11">
        <v>3</v>
      </c>
      <c r="S143" s="16">
        <v>0</v>
      </c>
      <c r="T143" s="13">
        <v>2.3814000000000002</v>
      </c>
      <c r="U143" s="1" t="str">
        <f t="shared" si="7"/>
        <v>Profit</v>
      </c>
      <c r="V143" s="1" t="str">
        <f t="shared" si="8"/>
        <v>Low</v>
      </c>
    </row>
    <row r="144" spans="1:22" x14ac:dyDescent="0.35">
      <c r="A144" s="11">
        <v>143</v>
      </c>
      <c r="B144" s="10">
        <v>41901</v>
      </c>
      <c r="C144" s="11">
        <v>2014</v>
      </c>
      <c r="D144" s="12" t="s">
        <v>108</v>
      </c>
      <c r="E144" s="10">
        <v>41906</v>
      </c>
      <c r="F144" s="11">
        <f t="shared" si="6"/>
        <v>5</v>
      </c>
      <c r="G144" s="11" t="s">
        <v>42</v>
      </c>
      <c r="H144" s="11" t="s">
        <v>327</v>
      </c>
      <c r="I144" s="11" t="s">
        <v>34</v>
      </c>
      <c r="J144" s="11" t="s">
        <v>890</v>
      </c>
      <c r="K144" s="11" t="s">
        <v>93</v>
      </c>
      <c r="L144" s="11" t="s">
        <v>36</v>
      </c>
      <c r="M144" s="11" t="s">
        <v>37</v>
      </c>
      <c r="N144" s="11" t="s">
        <v>38</v>
      </c>
      <c r="O144" s="11" t="s">
        <v>120</v>
      </c>
      <c r="P144" s="11" t="s">
        <v>329</v>
      </c>
      <c r="Q144" s="13">
        <v>10.86</v>
      </c>
      <c r="R144" s="11">
        <v>3</v>
      </c>
      <c r="S144" s="16">
        <v>0</v>
      </c>
      <c r="T144" s="13">
        <v>5.1041999999999996</v>
      </c>
      <c r="U144" s="1" t="str">
        <f t="shared" si="7"/>
        <v>Profit</v>
      </c>
      <c r="V144" s="1" t="str">
        <f t="shared" si="8"/>
        <v>Low</v>
      </c>
    </row>
    <row r="145" spans="1:22" x14ac:dyDescent="0.35">
      <c r="A145" s="11">
        <v>144</v>
      </c>
      <c r="B145" s="10">
        <v>41901</v>
      </c>
      <c r="C145" s="11">
        <v>2014</v>
      </c>
      <c r="D145" s="12" t="s">
        <v>108</v>
      </c>
      <c r="E145" s="10">
        <v>41906</v>
      </c>
      <c r="F145" s="11">
        <f t="shared" si="6"/>
        <v>5</v>
      </c>
      <c r="G145" s="11" t="s">
        <v>42</v>
      </c>
      <c r="H145" s="11" t="s">
        <v>327</v>
      </c>
      <c r="I145" s="11" t="s">
        <v>34</v>
      </c>
      <c r="J145" s="11" t="s">
        <v>890</v>
      </c>
      <c r="K145" s="11" t="s">
        <v>93</v>
      </c>
      <c r="L145" s="11" t="s">
        <v>36</v>
      </c>
      <c r="M145" s="11" t="s">
        <v>37</v>
      </c>
      <c r="N145" s="11" t="s">
        <v>38</v>
      </c>
      <c r="O145" s="11" t="s">
        <v>68</v>
      </c>
      <c r="P145" s="11" t="s">
        <v>330</v>
      </c>
      <c r="Q145" s="13">
        <v>143.69999999999999</v>
      </c>
      <c r="R145" s="11">
        <v>3</v>
      </c>
      <c r="S145" s="16">
        <v>0</v>
      </c>
      <c r="T145" s="13">
        <v>68.975999999999999</v>
      </c>
      <c r="U145" s="1" t="str">
        <f t="shared" si="7"/>
        <v>Profit</v>
      </c>
      <c r="V145" s="1" t="str">
        <f t="shared" si="8"/>
        <v>Low</v>
      </c>
    </row>
    <row r="146" spans="1:22" x14ac:dyDescent="0.35">
      <c r="A146" s="11">
        <v>145</v>
      </c>
      <c r="B146" s="10">
        <v>41996</v>
      </c>
      <c r="C146" s="11">
        <v>2014</v>
      </c>
      <c r="D146" s="12" t="s">
        <v>70</v>
      </c>
      <c r="E146" s="10">
        <v>42001</v>
      </c>
      <c r="F146" s="11">
        <f t="shared" si="6"/>
        <v>5</v>
      </c>
      <c r="G146" s="11" t="s">
        <v>42</v>
      </c>
      <c r="H146" s="11" t="s">
        <v>331</v>
      </c>
      <c r="I146" s="11" t="s">
        <v>23</v>
      </c>
      <c r="J146" s="11" t="s">
        <v>890</v>
      </c>
      <c r="K146" s="11" t="s">
        <v>332</v>
      </c>
      <c r="L146" s="11" t="s">
        <v>333</v>
      </c>
      <c r="M146" s="11" t="s">
        <v>79</v>
      </c>
      <c r="N146" s="11" t="s">
        <v>38</v>
      </c>
      <c r="O146" s="11" t="s">
        <v>60</v>
      </c>
      <c r="P146" s="11" t="s">
        <v>334</v>
      </c>
      <c r="Q146" s="13">
        <v>839.43</v>
      </c>
      <c r="R146" s="11">
        <v>3</v>
      </c>
      <c r="S146" s="16">
        <v>0</v>
      </c>
      <c r="T146" s="13">
        <v>218.2518</v>
      </c>
      <c r="U146" s="1" t="str">
        <f t="shared" si="7"/>
        <v>Profit</v>
      </c>
      <c r="V146" s="1" t="str">
        <f t="shared" si="8"/>
        <v>Medium</v>
      </c>
    </row>
    <row r="147" spans="1:22" x14ac:dyDescent="0.35">
      <c r="A147" s="11">
        <v>146</v>
      </c>
      <c r="B147" s="10">
        <v>41159</v>
      </c>
      <c r="C147" s="11">
        <v>2012</v>
      </c>
      <c r="D147" s="12" t="s">
        <v>108</v>
      </c>
      <c r="E147" s="10">
        <v>41164</v>
      </c>
      <c r="F147" s="11">
        <f t="shared" si="6"/>
        <v>5</v>
      </c>
      <c r="G147" s="11" t="s">
        <v>42</v>
      </c>
      <c r="H147" s="11" t="s">
        <v>335</v>
      </c>
      <c r="I147" s="11" t="s">
        <v>23</v>
      </c>
      <c r="J147" s="11" t="s">
        <v>890</v>
      </c>
      <c r="K147" s="11" t="s">
        <v>336</v>
      </c>
      <c r="L147" s="11" t="s">
        <v>36</v>
      </c>
      <c r="M147" s="11" t="s">
        <v>37</v>
      </c>
      <c r="N147" s="11" t="s">
        <v>38</v>
      </c>
      <c r="O147" s="11" t="s">
        <v>48</v>
      </c>
      <c r="P147" s="11" t="s">
        <v>227</v>
      </c>
      <c r="Q147" s="13">
        <v>671.93</v>
      </c>
      <c r="R147" s="11">
        <v>7</v>
      </c>
      <c r="S147" s="16">
        <v>0</v>
      </c>
      <c r="T147" s="13">
        <v>20.157900000000001</v>
      </c>
      <c r="U147" s="1" t="str">
        <f t="shared" si="7"/>
        <v>Profit</v>
      </c>
      <c r="V147" s="1" t="str">
        <f t="shared" si="8"/>
        <v>Medium</v>
      </c>
    </row>
    <row r="148" spans="1:22" x14ac:dyDescent="0.35">
      <c r="A148" s="11">
        <v>147</v>
      </c>
      <c r="B148" s="10">
        <v>40838</v>
      </c>
      <c r="C148" s="11">
        <v>2011</v>
      </c>
      <c r="D148" s="12" t="s">
        <v>41</v>
      </c>
      <c r="E148" s="10">
        <v>40844</v>
      </c>
      <c r="F148" s="11">
        <f t="shared" si="6"/>
        <v>6</v>
      </c>
      <c r="G148" s="11" t="s">
        <v>42</v>
      </c>
      <c r="H148" s="11" t="s">
        <v>337</v>
      </c>
      <c r="I148" s="11" t="s">
        <v>76</v>
      </c>
      <c r="J148" s="11" t="s">
        <v>890</v>
      </c>
      <c r="K148" s="11" t="s">
        <v>338</v>
      </c>
      <c r="L148" s="11" t="s">
        <v>285</v>
      </c>
      <c r="M148" s="11" t="s">
        <v>106</v>
      </c>
      <c r="N148" s="11" t="s">
        <v>27</v>
      </c>
      <c r="O148" s="11" t="s">
        <v>51</v>
      </c>
      <c r="P148" s="11" t="s">
        <v>339</v>
      </c>
      <c r="Q148" s="13">
        <v>93.888000000000005</v>
      </c>
      <c r="R148" s="11">
        <v>4</v>
      </c>
      <c r="S148" s="16">
        <v>0.2</v>
      </c>
      <c r="T148" s="13">
        <v>12.909599999999999</v>
      </c>
      <c r="U148" s="1" t="str">
        <f t="shared" si="7"/>
        <v>Profit</v>
      </c>
      <c r="V148" s="1" t="str">
        <f t="shared" si="8"/>
        <v>Low</v>
      </c>
    </row>
    <row r="149" spans="1:22" x14ac:dyDescent="0.35">
      <c r="A149" s="11">
        <v>148</v>
      </c>
      <c r="B149" s="10">
        <v>41614</v>
      </c>
      <c r="C149" s="11">
        <v>2013</v>
      </c>
      <c r="D149" s="12" t="s">
        <v>70</v>
      </c>
      <c r="E149" s="10">
        <v>41618</v>
      </c>
      <c r="F149" s="11">
        <f t="shared" si="6"/>
        <v>4</v>
      </c>
      <c r="G149" s="11" t="s">
        <v>42</v>
      </c>
      <c r="H149" s="11" t="s">
        <v>340</v>
      </c>
      <c r="I149" s="11" t="s">
        <v>34</v>
      </c>
      <c r="J149" s="11" t="s">
        <v>890</v>
      </c>
      <c r="K149" s="11" t="s">
        <v>341</v>
      </c>
      <c r="L149" s="11" t="s">
        <v>84</v>
      </c>
      <c r="M149" s="11" t="s">
        <v>79</v>
      </c>
      <c r="N149" s="11" t="s">
        <v>55</v>
      </c>
      <c r="O149" s="11" t="s">
        <v>56</v>
      </c>
      <c r="P149" s="11" t="s">
        <v>342</v>
      </c>
      <c r="Q149" s="13">
        <v>384.45</v>
      </c>
      <c r="R149" s="11">
        <v>11</v>
      </c>
      <c r="S149" s="16">
        <v>0</v>
      </c>
      <c r="T149" s="13">
        <v>103.8015</v>
      </c>
      <c r="U149" s="1" t="str">
        <f t="shared" si="7"/>
        <v>Profit</v>
      </c>
      <c r="V149" s="1" t="str">
        <f t="shared" si="8"/>
        <v>Low</v>
      </c>
    </row>
    <row r="150" spans="1:22" x14ac:dyDescent="0.35">
      <c r="A150" s="11">
        <v>149</v>
      </c>
      <c r="B150" s="10">
        <v>41614</v>
      </c>
      <c r="C150" s="11">
        <v>2013</v>
      </c>
      <c r="D150" s="12" t="s">
        <v>70</v>
      </c>
      <c r="E150" s="10">
        <v>41618</v>
      </c>
      <c r="F150" s="11">
        <f t="shared" si="6"/>
        <v>4</v>
      </c>
      <c r="G150" s="11" t="s">
        <v>42</v>
      </c>
      <c r="H150" s="11" t="s">
        <v>340</v>
      </c>
      <c r="I150" s="11" t="s">
        <v>34</v>
      </c>
      <c r="J150" s="11" t="s">
        <v>890</v>
      </c>
      <c r="K150" s="11" t="s">
        <v>341</v>
      </c>
      <c r="L150" s="11" t="s">
        <v>84</v>
      </c>
      <c r="M150" s="11" t="s">
        <v>79</v>
      </c>
      <c r="N150" s="11" t="s">
        <v>55</v>
      </c>
      <c r="O150" s="11" t="s">
        <v>56</v>
      </c>
      <c r="P150" s="11" t="s">
        <v>343</v>
      </c>
      <c r="Q150" s="13">
        <v>149.97</v>
      </c>
      <c r="R150" s="11">
        <v>3</v>
      </c>
      <c r="S150" s="16">
        <v>0</v>
      </c>
      <c r="T150" s="13">
        <v>5.9988000000000001</v>
      </c>
      <c r="U150" s="1" t="str">
        <f t="shared" si="7"/>
        <v>Profit</v>
      </c>
      <c r="V150" s="1" t="str">
        <f t="shared" si="8"/>
        <v>Low</v>
      </c>
    </row>
    <row r="151" spans="1:22" x14ac:dyDescent="0.35">
      <c r="A151" s="11">
        <v>150</v>
      </c>
      <c r="B151" s="10">
        <v>41614</v>
      </c>
      <c r="C151" s="11">
        <v>2013</v>
      </c>
      <c r="D151" s="12" t="s">
        <v>70</v>
      </c>
      <c r="E151" s="10">
        <v>41618</v>
      </c>
      <c r="F151" s="11">
        <f t="shared" si="6"/>
        <v>4</v>
      </c>
      <c r="G151" s="11" t="s">
        <v>42</v>
      </c>
      <c r="H151" s="11" t="s">
        <v>340</v>
      </c>
      <c r="I151" s="11" t="s">
        <v>34</v>
      </c>
      <c r="J151" s="11" t="s">
        <v>890</v>
      </c>
      <c r="K151" s="11" t="s">
        <v>341</v>
      </c>
      <c r="L151" s="11" t="s">
        <v>84</v>
      </c>
      <c r="M151" s="11" t="s">
        <v>79</v>
      </c>
      <c r="N151" s="11" t="s">
        <v>27</v>
      </c>
      <c r="O151" s="11" t="s">
        <v>30</v>
      </c>
      <c r="P151" s="11" t="s">
        <v>31</v>
      </c>
      <c r="Q151" s="13">
        <v>1951.84</v>
      </c>
      <c r="R151" s="11">
        <v>8</v>
      </c>
      <c r="S151" s="16">
        <v>0</v>
      </c>
      <c r="T151" s="13">
        <v>585.55200000000002</v>
      </c>
      <c r="U151" s="1" t="str">
        <f t="shared" si="7"/>
        <v>Profit</v>
      </c>
      <c r="V151" s="1" t="str">
        <f t="shared" si="8"/>
        <v>High</v>
      </c>
    </row>
    <row r="152" spans="1:22" x14ac:dyDescent="0.35">
      <c r="A152" s="11">
        <v>151</v>
      </c>
      <c r="B152" s="10">
        <v>41614</v>
      </c>
      <c r="C152" s="11">
        <v>2013</v>
      </c>
      <c r="D152" s="12" t="s">
        <v>70</v>
      </c>
      <c r="E152" s="10">
        <v>41618</v>
      </c>
      <c r="F152" s="11">
        <f t="shared" si="6"/>
        <v>4</v>
      </c>
      <c r="G152" s="11" t="s">
        <v>42</v>
      </c>
      <c r="H152" s="11" t="s">
        <v>340</v>
      </c>
      <c r="I152" s="11" t="s">
        <v>34</v>
      </c>
      <c r="J152" s="11" t="s">
        <v>890</v>
      </c>
      <c r="K152" s="11" t="s">
        <v>341</v>
      </c>
      <c r="L152" s="11" t="s">
        <v>84</v>
      </c>
      <c r="M152" s="11" t="s">
        <v>79</v>
      </c>
      <c r="N152" s="11" t="s">
        <v>38</v>
      </c>
      <c r="O152" s="11" t="s">
        <v>58</v>
      </c>
      <c r="P152" s="11" t="s">
        <v>344</v>
      </c>
      <c r="Q152" s="13">
        <v>171.55</v>
      </c>
      <c r="R152" s="11">
        <v>5</v>
      </c>
      <c r="S152" s="16">
        <v>0</v>
      </c>
      <c r="T152" s="13">
        <v>80.628500000000003</v>
      </c>
      <c r="U152" s="1" t="str">
        <f t="shared" si="7"/>
        <v>Profit</v>
      </c>
      <c r="V152" s="1" t="str">
        <f t="shared" si="8"/>
        <v>Low</v>
      </c>
    </row>
    <row r="153" spans="1:22" x14ac:dyDescent="0.35">
      <c r="A153" s="11">
        <v>152</v>
      </c>
      <c r="B153" s="10">
        <v>41347</v>
      </c>
      <c r="C153" s="11">
        <v>2013</v>
      </c>
      <c r="D153" s="12" t="s">
        <v>147</v>
      </c>
      <c r="E153" s="10">
        <v>41350</v>
      </c>
      <c r="F153" s="11">
        <f t="shared" si="6"/>
        <v>3</v>
      </c>
      <c r="G153" s="11" t="s">
        <v>128</v>
      </c>
      <c r="H153" s="11" t="s">
        <v>345</v>
      </c>
      <c r="I153" s="11" t="s">
        <v>76</v>
      </c>
      <c r="J153" s="11" t="s">
        <v>890</v>
      </c>
      <c r="K153" s="11" t="s">
        <v>346</v>
      </c>
      <c r="L153" s="11" t="s">
        <v>193</v>
      </c>
      <c r="M153" s="11" t="s">
        <v>37</v>
      </c>
      <c r="N153" s="11" t="s">
        <v>38</v>
      </c>
      <c r="O153" s="11" t="s">
        <v>60</v>
      </c>
      <c r="P153" s="11" t="s">
        <v>347</v>
      </c>
      <c r="Q153" s="13">
        <v>157.91999999999999</v>
      </c>
      <c r="R153" s="11">
        <v>5</v>
      </c>
      <c r="S153" s="16">
        <v>0.2</v>
      </c>
      <c r="T153" s="13">
        <v>17.765999999999998</v>
      </c>
      <c r="U153" s="1" t="str">
        <f t="shared" si="7"/>
        <v>Profit</v>
      </c>
      <c r="V153" s="1" t="str">
        <f t="shared" si="8"/>
        <v>Low</v>
      </c>
    </row>
    <row r="154" spans="1:22" x14ac:dyDescent="0.35">
      <c r="A154" s="11">
        <v>153</v>
      </c>
      <c r="B154" s="10">
        <v>41347</v>
      </c>
      <c r="C154" s="11">
        <v>2013</v>
      </c>
      <c r="D154" s="12" t="s">
        <v>147</v>
      </c>
      <c r="E154" s="10">
        <v>41350</v>
      </c>
      <c r="F154" s="11">
        <f t="shared" si="6"/>
        <v>3</v>
      </c>
      <c r="G154" s="11" t="s">
        <v>128</v>
      </c>
      <c r="H154" s="11" t="s">
        <v>345</v>
      </c>
      <c r="I154" s="11" t="s">
        <v>76</v>
      </c>
      <c r="J154" s="11" t="s">
        <v>890</v>
      </c>
      <c r="K154" s="11" t="s">
        <v>346</v>
      </c>
      <c r="L154" s="11" t="s">
        <v>193</v>
      </c>
      <c r="M154" s="11" t="s">
        <v>37</v>
      </c>
      <c r="N154" s="11" t="s">
        <v>55</v>
      </c>
      <c r="O154" s="11" t="s">
        <v>56</v>
      </c>
      <c r="P154" s="11" t="s">
        <v>348</v>
      </c>
      <c r="Q154" s="13">
        <v>203.184</v>
      </c>
      <c r="R154" s="11">
        <v>2</v>
      </c>
      <c r="S154" s="16">
        <v>0.2</v>
      </c>
      <c r="T154" s="13">
        <v>15.238799999999999</v>
      </c>
      <c r="U154" s="1" t="str">
        <f t="shared" si="7"/>
        <v>Profit</v>
      </c>
      <c r="V154" s="1" t="str">
        <f t="shared" si="8"/>
        <v>Low</v>
      </c>
    </row>
    <row r="155" spans="1:22" x14ac:dyDescent="0.35">
      <c r="A155" s="11">
        <v>154</v>
      </c>
      <c r="B155" s="10">
        <v>41060</v>
      </c>
      <c r="C155" s="11">
        <v>2012</v>
      </c>
      <c r="D155" s="12" t="s">
        <v>86</v>
      </c>
      <c r="E155" s="10">
        <v>41062</v>
      </c>
      <c r="F155" s="11">
        <f t="shared" si="6"/>
        <v>2</v>
      </c>
      <c r="G155" s="11" t="s">
        <v>128</v>
      </c>
      <c r="H155" s="11" t="s">
        <v>349</v>
      </c>
      <c r="I155" s="11" t="s">
        <v>34</v>
      </c>
      <c r="J155" s="11" t="s">
        <v>890</v>
      </c>
      <c r="K155" s="11" t="s">
        <v>350</v>
      </c>
      <c r="L155" s="11" t="s">
        <v>36</v>
      </c>
      <c r="M155" s="11" t="s">
        <v>37</v>
      </c>
      <c r="N155" s="11" t="s">
        <v>38</v>
      </c>
      <c r="O155" s="11" t="s">
        <v>68</v>
      </c>
      <c r="P155" s="11" t="s">
        <v>351</v>
      </c>
      <c r="Q155" s="13">
        <v>58.38</v>
      </c>
      <c r="R155" s="11">
        <v>7</v>
      </c>
      <c r="S155" s="16">
        <v>0</v>
      </c>
      <c r="T155" s="13">
        <v>26.271000000000001</v>
      </c>
      <c r="U155" s="1" t="str">
        <f t="shared" si="7"/>
        <v>Profit</v>
      </c>
      <c r="V155" s="1" t="str">
        <f t="shared" si="8"/>
        <v>Low</v>
      </c>
    </row>
    <row r="156" spans="1:22" x14ac:dyDescent="0.35">
      <c r="A156" s="11">
        <v>155</v>
      </c>
      <c r="B156" s="10">
        <v>41060</v>
      </c>
      <c r="C156" s="11">
        <v>2012</v>
      </c>
      <c r="D156" s="12" t="s">
        <v>86</v>
      </c>
      <c r="E156" s="10">
        <v>41062</v>
      </c>
      <c r="F156" s="11">
        <f t="shared" si="6"/>
        <v>2</v>
      </c>
      <c r="G156" s="11" t="s">
        <v>128</v>
      </c>
      <c r="H156" s="11" t="s">
        <v>349</v>
      </c>
      <c r="I156" s="11" t="s">
        <v>34</v>
      </c>
      <c r="J156" s="11" t="s">
        <v>890</v>
      </c>
      <c r="K156" s="11" t="s">
        <v>350</v>
      </c>
      <c r="L156" s="11" t="s">
        <v>36</v>
      </c>
      <c r="M156" s="11" t="s">
        <v>37</v>
      </c>
      <c r="N156" s="11" t="s">
        <v>38</v>
      </c>
      <c r="O156" s="11" t="s">
        <v>68</v>
      </c>
      <c r="P156" s="11" t="s">
        <v>352</v>
      </c>
      <c r="Q156" s="13">
        <v>105.52</v>
      </c>
      <c r="R156" s="11">
        <v>4</v>
      </c>
      <c r="S156" s="16">
        <v>0</v>
      </c>
      <c r="T156" s="13">
        <v>48.539200000000001</v>
      </c>
      <c r="U156" s="1" t="str">
        <f t="shared" si="7"/>
        <v>Profit</v>
      </c>
      <c r="V156" s="1" t="str">
        <f t="shared" si="8"/>
        <v>Low</v>
      </c>
    </row>
    <row r="157" spans="1:22" x14ac:dyDescent="0.35">
      <c r="A157" s="11">
        <v>156</v>
      </c>
      <c r="B157" s="10">
        <v>41060</v>
      </c>
      <c r="C157" s="11">
        <v>2012</v>
      </c>
      <c r="D157" s="12" t="s">
        <v>86</v>
      </c>
      <c r="E157" s="10">
        <v>41062</v>
      </c>
      <c r="F157" s="11">
        <f t="shared" si="6"/>
        <v>2</v>
      </c>
      <c r="G157" s="11" t="s">
        <v>128</v>
      </c>
      <c r="H157" s="11" t="s">
        <v>349</v>
      </c>
      <c r="I157" s="11" t="s">
        <v>34</v>
      </c>
      <c r="J157" s="11" t="s">
        <v>890</v>
      </c>
      <c r="K157" s="11" t="s">
        <v>350</v>
      </c>
      <c r="L157" s="11" t="s">
        <v>36</v>
      </c>
      <c r="M157" s="11" t="s">
        <v>37</v>
      </c>
      <c r="N157" s="11" t="s">
        <v>38</v>
      </c>
      <c r="O157" s="11" t="s">
        <v>48</v>
      </c>
      <c r="P157" s="11" t="s">
        <v>353</v>
      </c>
      <c r="Q157" s="13">
        <v>80.88</v>
      </c>
      <c r="R157" s="11">
        <v>6</v>
      </c>
      <c r="S157" s="16">
        <v>0</v>
      </c>
      <c r="T157" s="13">
        <v>21.0288</v>
      </c>
      <c r="U157" s="1" t="str">
        <f t="shared" si="7"/>
        <v>Profit</v>
      </c>
      <c r="V157" s="1" t="str">
        <f t="shared" si="8"/>
        <v>Low</v>
      </c>
    </row>
    <row r="158" spans="1:22" x14ac:dyDescent="0.35">
      <c r="A158" s="11">
        <v>157</v>
      </c>
      <c r="B158" s="10">
        <v>41057</v>
      </c>
      <c r="C158" s="11">
        <v>2012</v>
      </c>
      <c r="D158" s="12" t="s">
        <v>86</v>
      </c>
      <c r="E158" s="10">
        <v>41063</v>
      </c>
      <c r="F158" s="11">
        <f t="shared" si="6"/>
        <v>6</v>
      </c>
      <c r="G158" s="11" t="s">
        <v>42</v>
      </c>
      <c r="H158" s="11" t="s">
        <v>354</v>
      </c>
      <c r="I158" s="11" t="s">
        <v>76</v>
      </c>
      <c r="J158" s="11" t="s">
        <v>890</v>
      </c>
      <c r="K158" s="11" t="s">
        <v>72</v>
      </c>
      <c r="L158" s="11" t="s">
        <v>73</v>
      </c>
      <c r="M158" s="11" t="s">
        <v>37</v>
      </c>
      <c r="N158" s="11" t="s">
        <v>38</v>
      </c>
      <c r="O158" s="11" t="s">
        <v>53</v>
      </c>
      <c r="P158" s="11" t="s">
        <v>355</v>
      </c>
      <c r="Q158" s="13">
        <v>6.63</v>
      </c>
      <c r="R158" s="11">
        <v>3</v>
      </c>
      <c r="S158" s="16">
        <v>0</v>
      </c>
      <c r="T158" s="13">
        <v>1.7901</v>
      </c>
      <c r="U158" s="1" t="str">
        <f t="shared" si="7"/>
        <v>Profit</v>
      </c>
      <c r="V158" s="1" t="str">
        <f t="shared" si="8"/>
        <v>Low</v>
      </c>
    </row>
    <row r="159" spans="1:22" x14ac:dyDescent="0.35">
      <c r="A159" s="11">
        <v>158</v>
      </c>
      <c r="B159" s="10">
        <v>40603</v>
      </c>
      <c r="C159" s="11">
        <v>2011</v>
      </c>
      <c r="D159" s="12" t="s">
        <v>147</v>
      </c>
      <c r="E159" s="10">
        <v>40608</v>
      </c>
      <c r="F159" s="11">
        <f t="shared" si="6"/>
        <v>5</v>
      </c>
      <c r="G159" s="11" t="s">
        <v>21</v>
      </c>
      <c r="H159" s="11" t="s">
        <v>356</v>
      </c>
      <c r="I159" s="11" t="s">
        <v>23</v>
      </c>
      <c r="J159" s="11" t="s">
        <v>890</v>
      </c>
      <c r="K159" s="11" t="s">
        <v>72</v>
      </c>
      <c r="L159" s="11" t="s">
        <v>73</v>
      </c>
      <c r="M159" s="11" t="s">
        <v>37</v>
      </c>
      <c r="N159" s="11" t="s">
        <v>27</v>
      </c>
      <c r="O159" s="11" t="s">
        <v>30</v>
      </c>
      <c r="P159" s="11" t="s">
        <v>302</v>
      </c>
      <c r="Q159" s="13">
        <v>457.56799999999998</v>
      </c>
      <c r="R159" s="11">
        <v>2</v>
      </c>
      <c r="S159" s="16">
        <v>0.2</v>
      </c>
      <c r="T159" s="13">
        <v>51.476399999999998</v>
      </c>
      <c r="U159" s="1" t="str">
        <f t="shared" si="7"/>
        <v>Profit</v>
      </c>
      <c r="V159" s="1" t="str">
        <f t="shared" si="8"/>
        <v>Low</v>
      </c>
    </row>
    <row r="160" spans="1:22" x14ac:dyDescent="0.35">
      <c r="A160" s="11">
        <v>159</v>
      </c>
      <c r="B160" s="10">
        <v>41599</v>
      </c>
      <c r="C160" s="11">
        <v>2013</v>
      </c>
      <c r="D160" s="12" t="s">
        <v>20</v>
      </c>
      <c r="E160" s="10">
        <v>41603</v>
      </c>
      <c r="F160" s="11">
        <f t="shared" si="6"/>
        <v>4</v>
      </c>
      <c r="G160" s="11" t="s">
        <v>42</v>
      </c>
      <c r="H160" s="11" t="s">
        <v>357</v>
      </c>
      <c r="I160" s="11" t="s">
        <v>23</v>
      </c>
      <c r="J160" s="11" t="s">
        <v>890</v>
      </c>
      <c r="K160" s="11" t="s">
        <v>358</v>
      </c>
      <c r="L160" s="11" t="s">
        <v>359</v>
      </c>
      <c r="M160" s="11" t="s">
        <v>79</v>
      </c>
      <c r="N160" s="11" t="s">
        <v>38</v>
      </c>
      <c r="O160" s="11" t="s">
        <v>39</v>
      </c>
      <c r="P160" s="11" t="s">
        <v>360</v>
      </c>
      <c r="Q160" s="13">
        <v>14.62</v>
      </c>
      <c r="R160" s="11">
        <v>2</v>
      </c>
      <c r="S160" s="16">
        <v>0</v>
      </c>
      <c r="T160" s="13">
        <v>6.8714000000000004</v>
      </c>
      <c r="U160" s="1" t="str">
        <f t="shared" si="7"/>
        <v>Profit</v>
      </c>
      <c r="V160" s="1" t="str">
        <f t="shared" si="8"/>
        <v>Low</v>
      </c>
    </row>
    <row r="161" spans="1:22" x14ac:dyDescent="0.35">
      <c r="A161" s="11">
        <v>160</v>
      </c>
      <c r="B161" s="10">
        <v>41599</v>
      </c>
      <c r="C161" s="11">
        <v>2013</v>
      </c>
      <c r="D161" s="12" t="s">
        <v>20</v>
      </c>
      <c r="E161" s="10">
        <v>41603</v>
      </c>
      <c r="F161" s="11">
        <f t="shared" si="6"/>
        <v>4</v>
      </c>
      <c r="G161" s="11" t="s">
        <v>42</v>
      </c>
      <c r="H161" s="11" t="s">
        <v>357</v>
      </c>
      <c r="I161" s="11" t="s">
        <v>23</v>
      </c>
      <c r="J161" s="11" t="s">
        <v>890</v>
      </c>
      <c r="K161" s="11" t="s">
        <v>358</v>
      </c>
      <c r="L161" s="11" t="s">
        <v>359</v>
      </c>
      <c r="M161" s="11" t="s">
        <v>79</v>
      </c>
      <c r="N161" s="11" t="s">
        <v>55</v>
      </c>
      <c r="O161" s="11" t="s">
        <v>56</v>
      </c>
      <c r="P161" s="11" t="s">
        <v>361</v>
      </c>
      <c r="Q161" s="13">
        <v>944.93</v>
      </c>
      <c r="R161" s="11">
        <v>7</v>
      </c>
      <c r="S161" s="16">
        <v>0</v>
      </c>
      <c r="T161" s="13">
        <v>236.23249999999999</v>
      </c>
      <c r="U161" s="1" t="str">
        <f t="shared" si="7"/>
        <v>Profit</v>
      </c>
      <c r="V161" s="1" t="str">
        <f t="shared" si="8"/>
        <v>Medium</v>
      </c>
    </row>
    <row r="162" spans="1:22" x14ac:dyDescent="0.35">
      <c r="A162" s="11">
        <v>161</v>
      </c>
      <c r="B162" s="10">
        <v>41406</v>
      </c>
      <c r="C162" s="11">
        <v>2013</v>
      </c>
      <c r="D162" s="12" t="s">
        <v>86</v>
      </c>
      <c r="E162" s="10">
        <v>41407</v>
      </c>
      <c r="F162" s="11">
        <f t="shared" si="6"/>
        <v>1</v>
      </c>
      <c r="G162" s="11" t="s">
        <v>128</v>
      </c>
      <c r="H162" s="11" t="s">
        <v>362</v>
      </c>
      <c r="I162" s="11" t="s">
        <v>23</v>
      </c>
      <c r="J162" s="11" t="s">
        <v>890</v>
      </c>
      <c r="K162" s="11" t="s">
        <v>35</v>
      </c>
      <c r="L162" s="11" t="s">
        <v>36</v>
      </c>
      <c r="M162" s="11" t="s">
        <v>37</v>
      </c>
      <c r="N162" s="11" t="s">
        <v>38</v>
      </c>
      <c r="O162" s="11" t="s">
        <v>68</v>
      </c>
      <c r="P162" s="11" t="s">
        <v>363</v>
      </c>
      <c r="Q162" s="13">
        <v>5.98</v>
      </c>
      <c r="R162" s="11">
        <v>1</v>
      </c>
      <c r="S162" s="16">
        <v>0</v>
      </c>
      <c r="T162" s="13">
        <v>2.6909999999999998</v>
      </c>
      <c r="U162" s="1" t="str">
        <f t="shared" si="7"/>
        <v>Profit</v>
      </c>
      <c r="V162" s="1" t="str">
        <f t="shared" si="8"/>
        <v>Low</v>
      </c>
    </row>
    <row r="163" spans="1:22" x14ac:dyDescent="0.35">
      <c r="A163" s="11">
        <v>162</v>
      </c>
      <c r="B163" s="10">
        <v>41271</v>
      </c>
      <c r="C163" s="11">
        <v>2012</v>
      </c>
      <c r="D163" s="12" t="s">
        <v>70</v>
      </c>
      <c r="E163" s="10">
        <v>41274</v>
      </c>
      <c r="F163" s="11">
        <f t="shared" si="6"/>
        <v>3</v>
      </c>
      <c r="G163" s="11" t="s">
        <v>21</v>
      </c>
      <c r="H163" s="11" t="s">
        <v>364</v>
      </c>
      <c r="I163" s="11" t="s">
        <v>23</v>
      </c>
      <c r="J163" s="11" t="s">
        <v>890</v>
      </c>
      <c r="K163" s="11" t="s">
        <v>104</v>
      </c>
      <c r="L163" s="11" t="s">
        <v>105</v>
      </c>
      <c r="M163" s="11" t="s">
        <v>106</v>
      </c>
      <c r="N163" s="11" t="s">
        <v>55</v>
      </c>
      <c r="O163" s="11" t="s">
        <v>114</v>
      </c>
      <c r="P163" s="11" t="s">
        <v>365</v>
      </c>
      <c r="Q163" s="13">
        <v>54.384</v>
      </c>
      <c r="R163" s="11">
        <v>2</v>
      </c>
      <c r="S163" s="16">
        <v>0.2</v>
      </c>
      <c r="T163" s="13">
        <v>1.3595999999999999</v>
      </c>
      <c r="U163" s="1" t="str">
        <f t="shared" si="7"/>
        <v>Profit</v>
      </c>
      <c r="V163" s="1" t="str">
        <f t="shared" si="8"/>
        <v>Low</v>
      </c>
    </row>
    <row r="164" spans="1:22" x14ac:dyDescent="0.35">
      <c r="A164" s="11">
        <v>163</v>
      </c>
      <c r="B164" s="10">
        <v>41595</v>
      </c>
      <c r="C164" s="11">
        <v>2013</v>
      </c>
      <c r="D164" s="12" t="s">
        <v>20</v>
      </c>
      <c r="E164" s="10">
        <v>41599</v>
      </c>
      <c r="F164" s="11">
        <f t="shared" si="6"/>
        <v>4</v>
      </c>
      <c r="G164" s="11" t="s">
        <v>42</v>
      </c>
      <c r="H164" s="11" t="s">
        <v>366</v>
      </c>
      <c r="I164" s="11" t="s">
        <v>23</v>
      </c>
      <c r="J164" s="11" t="s">
        <v>890</v>
      </c>
      <c r="K164" s="11" t="s">
        <v>367</v>
      </c>
      <c r="L164" s="11" t="s">
        <v>368</v>
      </c>
      <c r="M164" s="11" t="s">
        <v>37</v>
      </c>
      <c r="N164" s="11" t="s">
        <v>38</v>
      </c>
      <c r="O164" s="11" t="s">
        <v>120</v>
      </c>
      <c r="P164" s="11" t="s">
        <v>127</v>
      </c>
      <c r="Q164" s="13">
        <v>28.4</v>
      </c>
      <c r="R164" s="11">
        <v>5</v>
      </c>
      <c r="S164" s="16">
        <v>0</v>
      </c>
      <c r="T164" s="13">
        <v>13.348000000000001</v>
      </c>
      <c r="U164" s="1" t="str">
        <f t="shared" si="7"/>
        <v>Profit</v>
      </c>
      <c r="V164" s="1" t="str">
        <f t="shared" si="8"/>
        <v>Low</v>
      </c>
    </row>
    <row r="165" spans="1:22" x14ac:dyDescent="0.35">
      <c r="A165" s="11">
        <v>164</v>
      </c>
      <c r="B165" s="10">
        <v>41586</v>
      </c>
      <c r="C165" s="11">
        <v>2013</v>
      </c>
      <c r="D165" s="12" t="s">
        <v>20</v>
      </c>
      <c r="E165" s="10">
        <v>41590</v>
      </c>
      <c r="F165" s="11">
        <f t="shared" si="6"/>
        <v>4</v>
      </c>
      <c r="G165" s="11" t="s">
        <v>42</v>
      </c>
      <c r="H165" s="11" t="s">
        <v>369</v>
      </c>
      <c r="I165" s="11" t="s">
        <v>23</v>
      </c>
      <c r="J165" s="11" t="s">
        <v>890</v>
      </c>
      <c r="K165" s="11" t="s">
        <v>72</v>
      </c>
      <c r="L165" s="11" t="s">
        <v>73</v>
      </c>
      <c r="M165" s="11" t="s">
        <v>37</v>
      </c>
      <c r="N165" s="11" t="s">
        <v>38</v>
      </c>
      <c r="O165" s="11" t="s">
        <v>58</v>
      </c>
      <c r="P165" s="11" t="s">
        <v>370</v>
      </c>
      <c r="Q165" s="13">
        <v>27.68</v>
      </c>
      <c r="R165" s="11">
        <v>2</v>
      </c>
      <c r="S165" s="16">
        <v>0.2</v>
      </c>
      <c r="T165" s="13">
        <v>9.6880000000000006</v>
      </c>
      <c r="U165" s="1" t="str">
        <f t="shared" si="7"/>
        <v>Profit</v>
      </c>
      <c r="V165" s="1" t="str">
        <f t="shared" si="8"/>
        <v>Low</v>
      </c>
    </row>
    <row r="166" spans="1:22" x14ac:dyDescent="0.35">
      <c r="A166" s="11">
        <v>165</v>
      </c>
      <c r="B166" s="10">
        <v>40794</v>
      </c>
      <c r="C166" s="11">
        <v>2011</v>
      </c>
      <c r="D166" s="12" t="s">
        <v>108</v>
      </c>
      <c r="E166" s="10">
        <v>40798</v>
      </c>
      <c r="F166" s="11">
        <f t="shared" si="6"/>
        <v>4</v>
      </c>
      <c r="G166" s="11" t="s">
        <v>42</v>
      </c>
      <c r="H166" s="11" t="s">
        <v>371</v>
      </c>
      <c r="I166" s="11" t="s">
        <v>23</v>
      </c>
      <c r="J166" s="11" t="s">
        <v>890</v>
      </c>
      <c r="K166" s="11" t="s">
        <v>372</v>
      </c>
      <c r="L166" s="11" t="s">
        <v>78</v>
      </c>
      <c r="M166" s="11" t="s">
        <v>79</v>
      </c>
      <c r="N166" s="11" t="s">
        <v>38</v>
      </c>
      <c r="O166" s="11" t="s">
        <v>53</v>
      </c>
      <c r="P166" s="11" t="s">
        <v>373</v>
      </c>
      <c r="Q166" s="13">
        <v>9.9359999999999999</v>
      </c>
      <c r="R166" s="11">
        <v>3</v>
      </c>
      <c r="S166" s="16">
        <v>0.2</v>
      </c>
      <c r="T166" s="13">
        <v>2.7324000000000002</v>
      </c>
      <c r="U166" s="1" t="str">
        <f t="shared" si="7"/>
        <v>Profit</v>
      </c>
      <c r="V166" s="1" t="str">
        <f t="shared" si="8"/>
        <v>Low</v>
      </c>
    </row>
    <row r="167" spans="1:22" x14ac:dyDescent="0.35">
      <c r="A167" s="11">
        <v>166</v>
      </c>
      <c r="B167" s="10">
        <v>40794</v>
      </c>
      <c r="C167" s="11">
        <v>2011</v>
      </c>
      <c r="D167" s="12" t="s">
        <v>108</v>
      </c>
      <c r="E167" s="10">
        <v>40798</v>
      </c>
      <c r="F167" s="11">
        <f t="shared" si="6"/>
        <v>4</v>
      </c>
      <c r="G167" s="11" t="s">
        <v>42</v>
      </c>
      <c r="H167" s="11" t="s">
        <v>371</v>
      </c>
      <c r="I167" s="11" t="s">
        <v>23</v>
      </c>
      <c r="J167" s="11" t="s">
        <v>890</v>
      </c>
      <c r="K167" s="11" t="s">
        <v>372</v>
      </c>
      <c r="L167" s="11" t="s">
        <v>78</v>
      </c>
      <c r="M167" s="11" t="s">
        <v>79</v>
      </c>
      <c r="N167" s="11" t="s">
        <v>55</v>
      </c>
      <c r="O167" s="11" t="s">
        <v>374</v>
      </c>
      <c r="P167" s="11" t="s">
        <v>375</v>
      </c>
      <c r="Q167" s="13">
        <v>8159.9520000000002</v>
      </c>
      <c r="R167" s="11">
        <v>8</v>
      </c>
      <c r="S167" s="16">
        <v>0.4</v>
      </c>
      <c r="T167" s="13">
        <v>-1359.992</v>
      </c>
      <c r="U167" s="1" t="str">
        <f t="shared" si="7"/>
        <v>Loss</v>
      </c>
      <c r="V167" s="1" t="str">
        <f t="shared" si="8"/>
        <v>High</v>
      </c>
    </row>
    <row r="168" spans="1:22" x14ac:dyDescent="0.35">
      <c r="A168" s="11">
        <v>167</v>
      </c>
      <c r="B168" s="10">
        <v>40794</v>
      </c>
      <c r="C168" s="11">
        <v>2011</v>
      </c>
      <c r="D168" s="12" t="s">
        <v>108</v>
      </c>
      <c r="E168" s="10">
        <v>40798</v>
      </c>
      <c r="F168" s="11">
        <f t="shared" si="6"/>
        <v>4</v>
      </c>
      <c r="G168" s="11" t="s">
        <v>42</v>
      </c>
      <c r="H168" s="11" t="s">
        <v>371</v>
      </c>
      <c r="I168" s="11" t="s">
        <v>23</v>
      </c>
      <c r="J168" s="11" t="s">
        <v>890</v>
      </c>
      <c r="K168" s="11" t="s">
        <v>372</v>
      </c>
      <c r="L168" s="11" t="s">
        <v>78</v>
      </c>
      <c r="M168" s="11" t="s">
        <v>79</v>
      </c>
      <c r="N168" s="11" t="s">
        <v>38</v>
      </c>
      <c r="O168" s="11" t="s">
        <v>48</v>
      </c>
      <c r="P168" s="11" t="s">
        <v>376</v>
      </c>
      <c r="Q168" s="13">
        <v>275.928</v>
      </c>
      <c r="R168" s="11">
        <v>3</v>
      </c>
      <c r="S168" s="16">
        <v>0.2</v>
      </c>
      <c r="T168" s="13">
        <v>-58.634700000000002</v>
      </c>
      <c r="U168" s="1" t="str">
        <f t="shared" si="7"/>
        <v>Loss</v>
      </c>
      <c r="V168" s="1" t="str">
        <f t="shared" si="8"/>
        <v>Low</v>
      </c>
    </row>
    <row r="169" spans="1:22" x14ac:dyDescent="0.35">
      <c r="A169" s="11">
        <v>168</v>
      </c>
      <c r="B169" s="10">
        <v>40794</v>
      </c>
      <c r="C169" s="11">
        <v>2011</v>
      </c>
      <c r="D169" s="12" t="s">
        <v>108</v>
      </c>
      <c r="E169" s="10">
        <v>40798</v>
      </c>
      <c r="F169" s="11">
        <f t="shared" si="6"/>
        <v>4</v>
      </c>
      <c r="G169" s="11" t="s">
        <v>42</v>
      </c>
      <c r="H169" s="11" t="s">
        <v>371</v>
      </c>
      <c r="I169" s="11" t="s">
        <v>23</v>
      </c>
      <c r="J169" s="11" t="s">
        <v>890</v>
      </c>
      <c r="K169" s="11" t="s">
        <v>372</v>
      </c>
      <c r="L169" s="11" t="s">
        <v>78</v>
      </c>
      <c r="M169" s="11" t="s">
        <v>79</v>
      </c>
      <c r="N169" s="11" t="s">
        <v>27</v>
      </c>
      <c r="O169" s="11" t="s">
        <v>30</v>
      </c>
      <c r="P169" s="11" t="s">
        <v>377</v>
      </c>
      <c r="Q169" s="13">
        <v>1740.06</v>
      </c>
      <c r="R169" s="11">
        <v>9</v>
      </c>
      <c r="S169" s="16">
        <v>0.3</v>
      </c>
      <c r="T169" s="13">
        <v>-24.858000000000001</v>
      </c>
      <c r="U169" s="1" t="str">
        <f t="shared" si="7"/>
        <v>Loss</v>
      </c>
      <c r="V169" s="1" t="str">
        <f t="shared" si="8"/>
        <v>High</v>
      </c>
    </row>
    <row r="170" spans="1:22" x14ac:dyDescent="0.35">
      <c r="A170" s="11">
        <v>169</v>
      </c>
      <c r="B170" s="10">
        <v>40794</v>
      </c>
      <c r="C170" s="11">
        <v>2011</v>
      </c>
      <c r="D170" s="12" t="s">
        <v>108</v>
      </c>
      <c r="E170" s="10">
        <v>40798</v>
      </c>
      <c r="F170" s="11">
        <f t="shared" si="6"/>
        <v>4</v>
      </c>
      <c r="G170" s="11" t="s">
        <v>42</v>
      </c>
      <c r="H170" s="11" t="s">
        <v>371</v>
      </c>
      <c r="I170" s="11" t="s">
        <v>23</v>
      </c>
      <c r="J170" s="11" t="s">
        <v>890</v>
      </c>
      <c r="K170" s="11" t="s">
        <v>372</v>
      </c>
      <c r="L170" s="11" t="s">
        <v>78</v>
      </c>
      <c r="M170" s="11" t="s">
        <v>79</v>
      </c>
      <c r="N170" s="11" t="s">
        <v>38</v>
      </c>
      <c r="O170" s="11" t="s">
        <v>53</v>
      </c>
      <c r="P170" s="11" t="s">
        <v>378</v>
      </c>
      <c r="Q170" s="13">
        <v>32.064</v>
      </c>
      <c r="R170" s="11">
        <v>6</v>
      </c>
      <c r="S170" s="16">
        <v>0.2</v>
      </c>
      <c r="T170" s="13">
        <v>6.8136000000000001</v>
      </c>
      <c r="U170" s="1" t="str">
        <f t="shared" si="7"/>
        <v>Profit</v>
      </c>
      <c r="V170" s="1" t="str">
        <f t="shared" si="8"/>
        <v>Low</v>
      </c>
    </row>
    <row r="171" spans="1:22" x14ac:dyDescent="0.35">
      <c r="A171" s="11">
        <v>170</v>
      </c>
      <c r="B171" s="10">
        <v>40794</v>
      </c>
      <c r="C171" s="11">
        <v>2011</v>
      </c>
      <c r="D171" s="12" t="s">
        <v>108</v>
      </c>
      <c r="E171" s="10">
        <v>40798</v>
      </c>
      <c r="F171" s="11">
        <f t="shared" si="6"/>
        <v>4</v>
      </c>
      <c r="G171" s="11" t="s">
        <v>42</v>
      </c>
      <c r="H171" s="11" t="s">
        <v>371</v>
      </c>
      <c r="I171" s="11" t="s">
        <v>23</v>
      </c>
      <c r="J171" s="11" t="s">
        <v>890</v>
      </c>
      <c r="K171" s="11" t="s">
        <v>372</v>
      </c>
      <c r="L171" s="11" t="s">
        <v>78</v>
      </c>
      <c r="M171" s="11" t="s">
        <v>79</v>
      </c>
      <c r="N171" s="11" t="s">
        <v>38</v>
      </c>
      <c r="O171" s="11" t="s">
        <v>60</v>
      </c>
      <c r="P171" s="11" t="s">
        <v>379</v>
      </c>
      <c r="Q171" s="13">
        <v>177.98</v>
      </c>
      <c r="R171" s="11">
        <v>5</v>
      </c>
      <c r="S171" s="16">
        <v>0.8</v>
      </c>
      <c r="T171" s="13">
        <v>-453.84899999999999</v>
      </c>
      <c r="U171" s="1" t="str">
        <f t="shared" si="7"/>
        <v>Loss</v>
      </c>
      <c r="V171" s="1" t="str">
        <f t="shared" si="8"/>
        <v>Low</v>
      </c>
    </row>
    <row r="172" spans="1:22" x14ac:dyDescent="0.35">
      <c r="A172" s="11">
        <v>171</v>
      </c>
      <c r="B172" s="10">
        <v>40794</v>
      </c>
      <c r="C172" s="11">
        <v>2011</v>
      </c>
      <c r="D172" s="12" t="s">
        <v>108</v>
      </c>
      <c r="E172" s="10">
        <v>40798</v>
      </c>
      <c r="F172" s="11">
        <f t="shared" si="6"/>
        <v>4</v>
      </c>
      <c r="G172" s="11" t="s">
        <v>42</v>
      </c>
      <c r="H172" s="11" t="s">
        <v>371</v>
      </c>
      <c r="I172" s="11" t="s">
        <v>23</v>
      </c>
      <c r="J172" s="11" t="s">
        <v>890</v>
      </c>
      <c r="K172" s="11" t="s">
        <v>372</v>
      </c>
      <c r="L172" s="11" t="s">
        <v>78</v>
      </c>
      <c r="M172" s="11" t="s">
        <v>79</v>
      </c>
      <c r="N172" s="11" t="s">
        <v>55</v>
      </c>
      <c r="O172" s="11" t="s">
        <v>56</v>
      </c>
      <c r="P172" s="11" t="s">
        <v>380</v>
      </c>
      <c r="Q172" s="13">
        <v>143.976</v>
      </c>
      <c r="R172" s="11">
        <v>3</v>
      </c>
      <c r="S172" s="16">
        <v>0.2</v>
      </c>
      <c r="T172" s="13">
        <v>8.9984999999999999</v>
      </c>
      <c r="U172" s="1" t="str">
        <f t="shared" si="7"/>
        <v>Profit</v>
      </c>
      <c r="V172" s="1" t="str">
        <f t="shared" si="8"/>
        <v>Low</v>
      </c>
    </row>
    <row r="173" spans="1:22" x14ac:dyDescent="0.35">
      <c r="A173" s="11">
        <v>172</v>
      </c>
      <c r="B173" s="10">
        <v>40760</v>
      </c>
      <c r="C173" s="11">
        <v>2011</v>
      </c>
      <c r="D173" s="12" t="s">
        <v>91</v>
      </c>
      <c r="E173" s="10">
        <v>40764</v>
      </c>
      <c r="F173" s="11">
        <f t="shared" si="6"/>
        <v>4</v>
      </c>
      <c r="G173" s="11" t="s">
        <v>42</v>
      </c>
      <c r="H173" s="11" t="s">
        <v>381</v>
      </c>
      <c r="I173" s="11" t="s">
        <v>23</v>
      </c>
      <c r="J173" s="11" t="s">
        <v>890</v>
      </c>
      <c r="K173" s="11" t="s">
        <v>35</v>
      </c>
      <c r="L173" s="11" t="s">
        <v>36</v>
      </c>
      <c r="M173" s="11" t="s">
        <v>37</v>
      </c>
      <c r="N173" s="11" t="s">
        <v>38</v>
      </c>
      <c r="O173" s="11" t="s">
        <v>68</v>
      </c>
      <c r="P173" s="11" t="s">
        <v>382</v>
      </c>
      <c r="Q173" s="13">
        <v>20.94</v>
      </c>
      <c r="R173" s="11">
        <v>3</v>
      </c>
      <c r="S173" s="16">
        <v>0</v>
      </c>
      <c r="T173" s="13">
        <v>9.8417999999999992</v>
      </c>
      <c r="U173" s="1" t="str">
        <f t="shared" si="7"/>
        <v>Profit</v>
      </c>
      <c r="V173" s="1" t="str">
        <f t="shared" si="8"/>
        <v>Low</v>
      </c>
    </row>
    <row r="174" spans="1:22" x14ac:dyDescent="0.35">
      <c r="A174" s="11">
        <v>173</v>
      </c>
      <c r="B174" s="10">
        <v>40760</v>
      </c>
      <c r="C174" s="11">
        <v>2011</v>
      </c>
      <c r="D174" s="12" t="s">
        <v>91</v>
      </c>
      <c r="E174" s="10">
        <v>40764</v>
      </c>
      <c r="F174" s="11">
        <f t="shared" si="6"/>
        <v>4</v>
      </c>
      <c r="G174" s="11" t="s">
        <v>42</v>
      </c>
      <c r="H174" s="11" t="s">
        <v>381</v>
      </c>
      <c r="I174" s="11" t="s">
        <v>23</v>
      </c>
      <c r="J174" s="11" t="s">
        <v>890</v>
      </c>
      <c r="K174" s="11" t="s">
        <v>35</v>
      </c>
      <c r="L174" s="11" t="s">
        <v>36</v>
      </c>
      <c r="M174" s="11" t="s">
        <v>37</v>
      </c>
      <c r="N174" s="11" t="s">
        <v>38</v>
      </c>
      <c r="O174" s="11" t="s">
        <v>68</v>
      </c>
      <c r="P174" s="11" t="s">
        <v>383</v>
      </c>
      <c r="Q174" s="13">
        <v>110.96</v>
      </c>
      <c r="R174" s="11">
        <v>2</v>
      </c>
      <c r="S174" s="16">
        <v>0</v>
      </c>
      <c r="T174" s="13">
        <v>53.260800000000003</v>
      </c>
      <c r="U174" s="1" t="str">
        <f t="shared" si="7"/>
        <v>Profit</v>
      </c>
      <c r="V174" s="1" t="str">
        <f t="shared" si="8"/>
        <v>Low</v>
      </c>
    </row>
    <row r="175" spans="1:22" x14ac:dyDescent="0.35">
      <c r="A175" s="11">
        <v>174</v>
      </c>
      <c r="B175" s="10">
        <v>40760</v>
      </c>
      <c r="C175" s="11">
        <v>2011</v>
      </c>
      <c r="D175" s="12" t="s">
        <v>91</v>
      </c>
      <c r="E175" s="10">
        <v>40764</v>
      </c>
      <c r="F175" s="11">
        <f t="shared" si="6"/>
        <v>4</v>
      </c>
      <c r="G175" s="11" t="s">
        <v>42</v>
      </c>
      <c r="H175" s="11" t="s">
        <v>381</v>
      </c>
      <c r="I175" s="11" t="s">
        <v>23</v>
      </c>
      <c r="J175" s="11" t="s">
        <v>890</v>
      </c>
      <c r="K175" s="11" t="s">
        <v>35</v>
      </c>
      <c r="L175" s="11" t="s">
        <v>36</v>
      </c>
      <c r="M175" s="11" t="s">
        <v>37</v>
      </c>
      <c r="N175" s="11" t="s">
        <v>27</v>
      </c>
      <c r="O175" s="11" t="s">
        <v>30</v>
      </c>
      <c r="P175" s="11" t="s">
        <v>384</v>
      </c>
      <c r="Q175" s="13">
        <v>340.14400000000001</v>
      </c>
      <c r="R175" s="11">
        <v>7</v>
      </c>
      <c r="S175" s="16">
        <v>0.2</v>
      </c>
      <c r="T175" s="13">
        <v>21.259</v>
      </c>
      <c r="U175" s="1" t="str">
        <f t="shared" si="7"/>
        <v>Profit</v>
      </c>
      <c r="V175" s="1" t="str">
        <f t="shared" si="8"/>
        <v>Low</v>
      </c>
    </row>
    <row r="176" spans="1:22" x14ac:dyDescent="0.35">
      <c r="A176" s="11">
        <v>175</v>
      </c>
      <c r="B176" s="10">
        <v>40800</v>
      </c>
      <c r="C176" s="11">
        <v>2011</v>
      </c>
      <c r="D176" s="12" t="s">
        <v>108</v>
      </c>
      <c r="E176" s="10">
        <v>40805</v>
      </c>
      <c r="F176" s="11">
        <f t="shared" si="6"/>
        <v>5</v>
      </c>
      <c r="G176" s="11" t="s">
        <v>42</v>
      </c>
      <c r="H176" s="11" t="s">
        <v>385</v>
      </c>
      <c r="I176" s="11" t="s">
        <v>34</v>
      </c>
      <c r="J176" s="11" t="s">
        <v>890</v>
      </c>
      <c r="K176" s="11" t="s">
        <v>189</v>
      </c>
      <c r="L176" s="11" t="s">
        <v>140</v>
      </c>
      <c r="M176" s="11" t="s">
        <v>79</v>
      </c>
      <c r="N176" s="11" t="s">
        <v>38</v>
      </c>
      <c r="O176" s="11" t="s">
        <v>60</v>
      </c>
      <c r="P176" s="11" t="s">
        <v>386</v>
      </c>
      <c r="Q176" s="13">
        <v>52.448</v>
      </c>
      <c r="R176" s="11">
        <v>2</v>
      </c>
      <c r="S176" s="16">
        <v>0.8</v>
      </c>
      <c r="T176" s="13">
        <v>-131.12</v>
      </c>
      <c r="U176" s="1" t="str">
        <f t="shared" si="7"/>
        <v>Loss</v>
      </c>
      <c r="V176" s="1" t="str">
        <f t="shared" si="8"/>
        <v>Low</v>
      </c>
    </row>
    <row r="177" spans="1:22" x14ac:dyDescent="0.35">
      <c r="A177" s="11">
        <v>176</v>
      </c>
      <c r="B177" s="10">
        <v>40800</v>
      </c>
      <c r="C177" s="11">
        <v>2011</v>
      </c>
      <c r="D177" s="12" t="s">
        <v>108</v>
      </c>
      <c r="E177" s="10">
        <v>40805</v>
      </c>
      <c r="F177" s="11">
        <f t="shared" si="6"/>
        <v>5</v>
      </c>
      <c r="G177" s="11" t="s">
        <v>42</v>
      </c>
      <c r="H177" s="11" t="s">
        <v>385</v>
      </c>
      <c r="I177" s="11" t="s">
        <v>34</v>
      </c>
      <c r="J177" s="11" t="s">
        <v>890</v>
      </c>
      <c r="K177" s="11" t="s">
        <v>189</v>
      </c>
      <c r="L177" s="11" t="s">
        <v>140</v>
      </c>
      <c r="M177" s="11" t="s">
        <v>79</v>
      </c>
      <c r="N177" s="11" t="s">
        <v>38</v>
      </c>
      <c r="O177" s="11" t="s">
        <v>39</v>
      </c>
      <c r="P177" s="11" t="s">
        <v>387</v>
      </c>
      <c r="Q177" s="13">
        <v>20.16</v>
      </c>
      <c r="R177" s="11">
        <v>4</v>
      </c>
      <c r="S177" s="16">
        <v>0.2</v>
      </c>
      <c r="T177" s="13">
        <v>6.5519999999999996</v>
      </c>
      <c r="U177" s="1" t="str">
        <f t="shared" si="7"/>
        <v>Profit</v>
      </c>
      <c r="V177" s="1" t="str">
        <f t="shared" si="8"/>
        <v>Low</v>
      </c>
    </row>
    <row r="178" spans="1:22" x14ac:dyDescent="0.35">
      <c r="A178" s="11">
        <v>177</v>
      </c>
      <c r="B178" s="10">
        <v>41751</v>
      </c>
      <c r="C178" s="11">
        <v>2014</v>
      </c>
      <c r="D178" s="12" t="s">
        <v>64</v>
      </c>
      <c r="E178" s="10">
        <v>41755</v>
      </c>
      <c r="F178" s="11">
        <f t="shared" si="6"/>
        <v>4</v>
      </c>
      <c r="G178" s="11" t="s">
        <v>21</v>
      </c>
      <c r="H178" s="11" t="s">
        <v>388</v>
      </c>
      <c r="I178" s="11" t="s">
        <v>23</v>
      </c>
      <c r="J178" s="11" t="s">
        <v>890</v>
      </c>
      <c r="K178" s="11" t="s">
        <v>126</v>
      </c>
      <c r="L178" s="11" t="s">
        <v>78</v>
      </c>
      <c r="M178" s="11" t="s">
        <v>79</v>
      </c>
      <c r="N178" s="11" t="s">
        <v>38</v>
      </c>
      <c r="O178" s="11" t="s">
        <v>60</v>
      </c>
      <c r="P178" s="11" t="s">
        <v>389</v>
      </c>
      <c r="Q178" s="13">
        <v>97.263999999999996</v>
      </c>
      <c r="R178" s="11">
        <v>4</v>
      </c>
      <c r="S178" s="16">
        <v>0.8</v>
      </c>
      <c r="T178" s="13">
        <v>-243.16</v>
      </c>
      <c r="U178" s="1" t="str">
        <f t="shared" si="7"/>
        <v>Loss</v>
      </c>
      <c r="V178" s="1" t="str">
        <f t="shared" si="8"/>
        <v>Low</v>
      </c>
    </row>
    <row r="179" spans="1:22" x14ac:dyDescent="0.35">
      <c r="A179" s="11">
        <v>178</v>
      </c>
      <c r="B179" s="10">
        <v>41234</v>
      </c>
      <c r="C179" s="11">
        <v>2012</v>
      </c>
      <c r="D179" s="12" t="s">
        <v>20</v>
      </c>
      <c r="E179" s="10">
        <v>41236</v>
      </c>
      <c r="F179" s="11">
        <f t="shared" si="6"/>
        <v>2</v>
      </c>
      <c r="G179" s="11" t="s">
        <v>21</v>
      </c>
      <c r="H179" s="11" t="s">
        <v>204</v>
      </c>
      <c r="I179" s="11" t="s">
        <v>23</v>
      </c>
      <c r="J179" s="11" t="s">
        <v>890</v>
      </c>
      <c r="K179" s="11" t="s">
        <v>338</v>
      </c>
      <c r="L179" s="11" t="s">
        <v>285</v>
      </c>
      <c r="M179" s="11" t="s">
        <v>106</v>
      </c>
      <c r="N179" s="11" t="s">
        <v>27</v>
      </c>
      <c r="O179" s="11" t="s">
        <v>30</v>
      </c>
      <c r="P179" s="11" t="s">
        <v>390</v>
      </c>
      <c r="Q179" s="13">
        <v>396.80200000000002</v>
      </c>
      <c r="R179" s="11">
        <v>7</v>
      </c>
      <c r="S179" s="16">
        <v>0.3</v>
      </c>
      <c r="T179" s="13">
        <v>-11.337199999999999</v>
      </c>
      <c r="U179" s="1" t="str">
        <f t="shared" si="7"/>
        <v>Loss</v>
      </c>
      <c r="V179" s="1" t="str">
        <f t="shared" si="8"/>
        <v>Low</v>
      </c>
    </row>
    <row r="180" spans="1:22" x14ac:dyDescent="0.35">
      <c r="A180" s="11">
        <v>179</v>
      </c>
      <c r="B180" s="10">
        <v>41234</v>
      </c>
      <c r="C180" s="11">
        <v>2012</v>
      </c>
      <c r="D180" s="12" t="s">
        <v>20</v>
      </c>
      <c r="E180" s="10">
        <v>41236</v>
      </c>
      <c r="F180" s="11">
        <f t="shared" si="6"/>
        <v>2</v>
      </c>
      <c r="G180" s="11" t="s">
        <v>21</v>
      </c>
      <c r="H180" s="11" t="s">
        <v>204</v>
      </c>
      <c r="I180" s="11" t="s">
        <v>23</v>
      </c>
      <c r="J180" s="11" t="s">
        <v>890</v>
      </c>
      <c r="K180" s="11" t="s">
        <v>338</v>
      </c>
      <c r="L180" s="11" t="s">
        <v>285</v>
      </c>
      <c r="M180" s="11" t="s">
        <v>106</v>
      </c>
      <c r="N180" s="11" t="s">
        <v>38</v>
      </c>
      <c r="O180" s="11" t="s">
        <v>324</v>
      </c>
      <c r="P180" s="11" t="s">
        <v>391</v>
      </c>
      <c r="Q180" s="13">
        <v>15.88</v>
      </c>
      <c r="R180" s="11">
        <v>5</v>
      </c>
      <c r="S180" s="16">
        <v>0.2</v>
      </c>
      <c r="T180" s="13">
        <v>-3.7715000000000001</v>
      </c>
      <c r="U180" s="1" t="str">
        <f t="shared" si="7"/>
        <v>Loss</v>
      </c>
      <c r="V180" s="1" t="str">
        <f t="shared" si="8"/>
        <v>Low</v>
      </c>
    </row>
    <row r="181" spans="1:22" x14ac:dyDescent="0.35">
      <c r="A181" s="11">
        <v>180</v>
      </c>
      <c r="B181" s="10">
        <v>41258</v>
      </c>
      <c r="C181" s="11">
        <v>2012</v>
      </c>
      <c r="D181" s="12" t="s">
        <v>70</v>
      </c>
      <c r="E181" s="10">
        <v>41262</v>
      </c>
      <c r="F181" s="11">
        <f t="shared" si="6"/>
        <v>4</v>
      </c>
      <c r="G181" s="11" t="s">
        <v>42</v>
      </c>
      <c r="H181" s="11" t="s">
        <v>392</v>
      </c>
      <c r="I181" s="11" t="s">
        <v>76</v>
      </c>
      <c r="J181" s="11" t="s">
        <v>890</v>
      </c>
      <c r="K181" s="11" t="s">
        <v>170</v>
      </c>
      <c r="L181" s="11" t="s">
        <v>171</v>
      </c>
      <c r="M181" s="11" t="s">
        <v>106</v>
      </c>
      <c r="N181" s="11" t="s">
        <v>38</v>
      </c>
      <c r="O181" s="11" t="s">
        <v>53</v>
      </c>
      <c r="P181" s="11" t="s">
        <v>393</v>
      </c>
      <c r="Q181" s="13">
        <v>3.28</v>
      </c>
      <c r="R181" s="11">
        <v>1</v>
      </c>
      <c r="S181" s="16">
        <v>0</v>
      </c>
      <c r="T181" s="13">
        <v>1.4104000000000001</v>
      </c>
      <c r="U181" s="1" t="str">
        <f t="shared" si="7"/>
        <v>Profit</v>
      </c>
      <c r="V181" s="1" t="str">
        <f t="shared" si="8"/>
        <v>Low</v>
      </c>
    </row>
    <row r="182" spans="1:22" x14ac:dyDescent="0.35">
      <c r="A182" s="11">
        <v>181</v>
      </c>
      <c r="B182" s="10">
        <v>40882</v>
      </c>
      <c r="C182" s="11">
        <v>2011</v>
      </c>
      <c r="D182" s="12" t="s">
        <v>70</v>
      </c>
      <c r="E182" s="10">
        <v>40886</v>
      </c>
      <c r="F182" s="11">
        <f t="shared" si="6"/>
        <v>4</v>
      </c>
      <c r="G182" s="11" t="s">
        <v>21</v>
      </c>
      <c r="H182" s="11" t="s">
        <v>394</v>
      </c>
      <c r="I182" s="11" t="s">
        <v>34</v>
      </c>
      <c r="J182" s="11" t="s">
        <v>890</v>
      </c>
      <c r="K182" s="11" t="s">
        <v>216</v>
      </c>
      <c r="L182" s="11" t="s">
        <v>140</v>
      </c>
      <c r="M182" s="11" t="s">
        <v>79</v>
      </c>
      <c r="N182" s="11" t="s">
        <v>38</v>
      </c>
      <c r="O182" s="11" t="s">
        <v>48</v>
      </c>
      <c r="P182" s="11" t="s">
        <v>395</v>
      </c>
      <c r="Q182" s="13">
        <v>24.815999999999999</v>
      </c>
      <c r="R182" s="11">
        <v>2</v>
      </c>
      <c r="S182" s="16">
        <v>0.2</v>
      </c>
      <c r="T182" s="13">
        <v>1.8612</v>
      </c>
      <c r="U182" s="1" t="str">
        <f t="shared" si="7"/>
        <v>Profit</v>
      </c>
      <c r="V182" s="1" t="str">
        <f t="shared" si="8"/>
        <v>Low</v>
      </c>
    </row>
    <row r="183" spans="1:22" x14ac:dyDescent="0.35">
      <c r="A183" s="11">
        <v>182</v>
      </c>
      <c r="B183" s="10">
        <v>40882</v>
      </c>
      <c r="C183" s="11">
        <v>2011</v>
      </c>
      <c r="D183" s="12" t="s">
        <v>70</v>
      </c>
      <c r="E183" s="10">
        <v>40886</v>
      </c>
      <c r="F183" s="11">
        <f t="shared" si="6"/>
        <v>4</v>
      </c>
      <c r="G183" s="11" t="s">
        <v>21</v>
      </c>
      <c r="H183" s="11" t="s">
        <v>394</v>
      </c>
      <c r="I183" s="11" t="s">
        <v>34</v>
      </c>
      <c r="J183" s="11" t="s">
        <v>890</v>
      </c>
      <c r="K183" s="11" t="s">
        <v>216</v>
      </c>
      <c r="L183" s="11" t="s">
        <v>140</v>
      </c>
      <c r="M183" s="11" t="s">
        <v>79</v>
      </c>
      <c r="N183" s="11" t="s">
        <v>55</v>
      </c>
      <c r="O183" s="11" t="s">
        <v>114</v>
      </c>
      <c r="P183" s="11" t="s">
        <v>396</v>
      </c>
      <c r="Q183" s="13">
        <v>408.74400000000003</v>
      </c>
      <c r="R183" s="11">
        <v>7</v>
      </c>
      <c r="S183" s="16">
        <v>0.2</v>
      </c>
      <c r="T183" s="13">
        <v>76.639499999999998</v>
      </c>
      <c r="U183" s="1" t="str">
        <f t="shared" si="7"/>
        <v>Profit</v>
      </c>
      <c r="V183" s="1" t="str">
        <f t="shared" si="8"/>
        <v>Low</v>
      </c>
    </row>
    <row r="184" spans="1:22" x14ac:dyDescent="0.35">
      <c r="A184" s="11">
        <v>183</v>
      </c>
      <c r="B184" s="10">
        <v>40866</v>
      </c>
      <c r="C184" s="11">
        <v>2011</v>
      </c>
      <c r="D184" s="12" t="s">
        <v>20</v>
      </c>
      <c r="E184" s="10">
        <v>40871</v>
      </c>
      <c r="F184" s="11">
        <f t="shared" si="6"/>
        <v>5</v>
      </c>
      <c r="G184" s="11" t="s">
        <v>21</v>
      </c>
      <c r="H184" s="11" t="s">
        <v>397</v>
      </c>
      <c r="I184" s="11" t="s">
        <v>76</v>
      </c>
      <c r="J184" s="11" t="s">
        <v>890</v>
      </c>
      <c r="K184" s="11" t="s">
        <v>398</v>
      </c>
      <c r="L184" s="11" t="s">
        <v>399</v>
      </c>
      <c r="M184" s="11" t="s">
        <v>26</v>
      </c>
      <c r="N184" s="11" t="s">
        <v>55</v>
      </c>
      <c r="O184" s="11" t="s">
        <v>56</v>
      </c>
      <c r="P184" s="11" t="s">
        <v>400</v>
      </c>
      <c r="Q184" s="13">
        <v>503.96</v>
      </c>
      <c r="R184" s="11">
        <v>4</v>
      </c>
      <c r="S184" s="16">
        <v>0</v>
      </c>
      <c r="T184" s="13">
        <v>131.02959999999999</v>
      </c>
      <c r="U184" s="1" t="str">
        <f t="shared" si="7"/>
        <v>Profit</v>
      </c>
      <c r="V184" s="1" t="str">
        <f t="shared" si="8"/>
        <v>Medium</v>
      </c>
    </row>
    <row r="185" spans="1:22" x14ac:dyDescent="0.35">
      <c r="A185" s="11">
        <v>184</v>
      </c>
      <c r="B185" s="10">
        <v>40866</v>
      </c>
      <c r="C185" s="11">
        <v>2011</v>
      </c>
      <c r="D185" s="12" t="s">
        <v>20</v>
      </c>
      <c r="E185" s="10">
        <v>40871</v>
      </c>
      <c r="F185" s="11">
        <f t="shared" si="6"/>
        <v>5</v>
      </c>
      <c r="G185" s="11" t="s">
        <v>21</v>
      </c>
      <c r="H185" s="11" t="s">
        <v>397</v>
      </c>
      <c r="I185" s="11" t="s">
        <v>76</v>
      </c>
      <c r="J185" s="11" t="s">
        <v>890</v>
      </c>
      <c r="K185" s="11" t="s">
        <v>398</v>
      </c>
      <c r="L185" s="11" t="s">
        <v>399</v>
      </c>
      <c r="M185" s="11" t="s">
        <v>26</v>
      </c>
      <c r="N185" s="11" t="s">
        <v>55</v>
      </c>
      <c r="O185" s="11" t="s">
        <v>56</v>
      </c>
      <c r="P185" s="11" t="s">
        <v>401</v>
      </c>
      <c r="Q185" s="13">
        <v>149.94999999999999</v>
      </c>
      <c r="R185" s="11">
        <v>5</v>
      </c>
      <c r="S185" s="16">
        <v>0</v>
      </c>
      <c r="T185" s="13">
        <v>41.985999999999997</v>
      </c>
      <c r="U185" s="1" t="str">
        <f t="shared" si="7"/>
        <v>Profit</v>
      </c>
      <c r="V185" s="1" t="str">
        <f t="shared" si="8"/>
        <v>Low</v>
      </c>
    </row>
    <row r="186" spans="1:22" x14ac:dyDescent="0.35">
      <c r="A186" s="11">
        <v>185</v>
      </c>
      <c r="B186" s="10">
        <v>40866</v>
      </c>
      <c r="C186" s="11">
        <v>2011</v>
      </c>
      <c r="D186" s="12" t="s">
        <v>20</v>
      </c>
      <c r="E186" s="10">
        <v>40871</v>
      </c>
      <c r="F186" s="11">
        <f t="shared" si="6"/>
        <v>5</v>
      </c>
      <c r="G186" s="11" t="s">
        <v>21</v>
      </c>
      <c r="H186" s="11" t="s">
        <v>397</v>
      </c>
      <c r="I186" s="11" t="s">
        <v>76</v>
      </c>
      <c r="J186" s="11" t="s">
        <v>890</v>
      </c>
      <c r="K186" s="11" t="s">
        <v>398</v>
      </c>
      <c r="L186" s="11" t="s">
        <v>399</v>
      </c>
      <c r="M186" s="11" t="s">
        <v>26</v>
      </c>
      <c r="N186" s="11" t="s">
        <v>55</v>
      </c>
      <c r="O186" s="11" t="s">
        <v>114</v>
      </c>
      <c r="P186" s="11" t="s">
        <v>402</v>
      </c>
      <c r="Q186" s="13">
        <v>29</v>
      </c>
      <c r="R186" s="11">
        <v>2</v>
      </c>
      <c r="S186" s="16">
        <v>0</v>
      </c>
      <c r="T186" s="13">
        <v>7.25</v>
      </c>
      <c r="U186" s="1" t="str">
        <f t="shared" si="7"/>
        <v>Profit</v>
      </c>
      <c r="V186" s="1" t="str">
        <f t="shared" si="8"/>
        <v>Low</v>
      </c>
    </row>
    <row r="187" spans="1:22" x14ac:dyDescent="0.35">
      <c r="A187" s="11">
        <v>186</v>
      </c>
      <c r="B187" s="10">
        <v>41607</v>
      </c>
      <c r="C187" s="11">
        <v>2013</v>
      </c>
      <c r="D187" s="12" t="s">
        <v>20</v>
      </c>
      <c r="E187" s="10">
        <v>41611</v>
      </c>
      <c r="F187" s="11">
        <f t="shared" si="6"/>
        <v>4</v>
      </c>
      <c r="G187" s="11" t="s">
        <v>42</v>
      </c>
      <c r="H187" s="11" t="s">
        <v>403</v>
      </c>
      <c r="I187" s="11" t="s">
        <v>23</v>
      </c>
      <c r="J187" s="11" t="s">
        <v>890</v>
      </c>
      <c r="K187" s="11" t="s">
        <v>404</v>
      </c>
      <c r="L187" s="11" t="s">
        <v>405</v>
      </c>
      <c r="M187" s="11" t="s">
        <v>106</v>
      </c>
      <c r="N187" s="11" t="s">
        <v>38</v>
      </c>
      <c r="O187" s="11" t="s">
        <v>58</v>
      </c>
      <c r="P187" s="11" t="s">
        <v>406</v>
      </c>
      <c r="Q187" s="13">
        <v>7.16</v>
      </c>
      <c r="R187" s="11">
        <v>2</v>
      </c>
      <c r="S187" s="16">
        <v>0</v>
      </c>
      <c r="T187" s="13">
        <v>3.4367999999999999</v>
      </c>
      <c r="U187" s="1" t="str">
        <f t="shared" si="7"/>
        <v>Profit</v>
      </c>
      <c r="V187" s="1" t="str">
        <f t="shared" si="8"/>
        <v>Low</v>
      </c>
    </row>
    <row r="188" spans="1:22" x14ac:dyDescent="0.35">
      <c r="A188" s="11">
        <v>187</v>
      </c>
      <c r="B188" s="10">
        <v>40781</v>
      </c>
      <c r="C188" s="11">
        <v>2011</v>
      </c>
      <c r="D188" s="12" t="s">
        <v>91</v>
      </c>
      <c r="E188" s="10">
        <v>40785</v>
      </c>
      <c r="F188" s="11">
        <f t="shared" si="6"/>
        <v>4</v>
      </c>
      <c r="G188" s="11" t="s">
        <v>42</v>
      </c>
      <c r="H188" s="11" t="s">
        <v>407</v>
      </c>
      <c r="I188" s="11" t="s">
        <v>76</v>
      </c>
      <c r="J188" s="11" t="s">
        <v>890</v>
      </c>
      <c r="K188" s="11" t="s">
        <v>35</v>
      </c>
      <c r="L188" s="11" t="s">
        <v>36</v>
      </c>
      <c r="M188" s="11" t="s">
        <v>37</v>
      </c>
      <c r="N188" s="11" t="s">
        <v>55</v>
      </c>
      <c r="O188" s="11" t="s">
        <v>114</v>
      </c>
      <c r="P188" s="11" t="s">
        <v>408</v>
      </c>
      <c r="Q188" s="13">
        <v>176.8</v>
      </c>
      <c r="R188" s="11">
        <v>8</v>
      </c>
      <c r="S188" s="16">
        <v>0</v>
      </c>
      <c r="T188" s="13">
        <v>22.984000000000002</v>
      </c>
      <c r="U188" s="1" t="str">
        <f t="shared" si="7"/>
        <v>Profit</v>
      </c>
      <c r="V188" s="1" t="str">
        <f t="shared" si="8"/>
        <v>Low</v>
      </c>
    </row>
    <row r="189" spans="1:22" x14ac:dyDescent="0.35">
      <c r="A189" s="11">
        <v>188</v>
      </c>
      <c r="B189" s="10">
        <v>41472</v>
      </c>
      <c r="C189" s="11">
        <v>2013</v>
      </c>
      <c r="D189" s="12" t="s">
        <v>102</v>
      </c>
      <c r="E189" s="10">
        <v>41478</v>
      </c>
      <c r="F189" s="11">
        <f t="shared" si="6"/>
        <v>6</v>
      </c>
      <c r="G189" s="11" t="s">
        <v>42</v>
      </c>
      <c r="H189" s="11" t="s">
        <v>409</v>
      </c>
      <c r="I189" s="11" t="s">
        <v>34</v>
      </c>
      <c r="J189" s="11" t="s">
        <v>890</v>
      </c>
      <c r="K189" s="11" t="s">
        <v>410</v>
      </c>
      <c r="L189" s="11" t="s">
        <v>78</v>
      </c>
      <c r="M189" s="11" t="s">
        <v>79</v>
      </c>
      <c r="N189" s="11" t="s">
        <v>38</v>
      </c>
      <c r="O189" s="11" t="s">
        <v>48</v>
      </c>
      <c r="P189" s="11" t="s">
        <v>411</v>
      </c>
      <c r="Q189" s="13">
        <v>37.223999999999997</v>
      </c>
      <c r="R189" s="11">
        <v>3</v>
      </c>
      <c r="S189" s="16">
        <v>0.2</v>
      </c>
      <c r="T189" s="13">
        <v>3.7223999999999999</v>
      </c>
      <c r="U189" s="1" t="str">
        <f t="shared" si="7"/>
        <v>Profit</v>
      </c>
      <c r="V189" s="1" t="str">
        <f t="shared" si="8"/>
        <v>Low</v>
      </c>
    </row>
    <row r="190" spans="1:22" x14ac:dyDescent="0.35">
      <c r="A190" s="11">
        <v>189</v>
      </c>
      <c r="B190" s="10">
        <v>41472</v>
      </c>
      <c r="C190" s="11">
        <v>2013</v>
      </c>
      <c r="D190" s="12" t="s">
        <v>102</v>
      </c>
      <c r="E190" s="10">
        <v>41478</v>
      </c>
      <c r="F190" s="11">
        <f t="shared" si="6"/>
        <v>6</v>
      </c>
      <c r="G190" s="11" t="s">
        <v>42</v>
      </c>
      <c r="H190" s="11" t="s">
        <v>409</v>
      </c>
      <c r="I190" s="11" t="s">
        <v>34</v>
      </c>
      <c r="J190" s="11" t="s">
        <v>890</v>
      </c>
      <c r="K190" s="11" t="s">
        <v>410</v>
      </c>
      <c r="L190" s="11" t="s">
        <v>78</v>
      </c>
      <c r="M190" s="11" t="s">
        <v>79</v>
      </c>
      <c r="N190" s="11" t="s">
        <v>38</v>
      </c>
      <c r="O190" s="11" t="s">
        <v>68</v>
      </c>
      <c r="P190" s="11" t="s">
        <v>351</v>
      </c>
      <c r="Q190" s="13">
        <v>20.015999999999998</v>
      </c>
      <c r="R190" s="11">
        <v>3</v>
      </c>
      <c r="S190" s="16">
        <v>0.2</v>
      </c>
      <c r="T190" s="13">
        <v>6.2549999999999999</v>
      </c>
      <c r="U190" s="1" t="str">
        <f t="shared" si="7"/>
        <v>Profit</v>
      </c>
      <c r="V190" s="1" t="str">
        <f t="shared" si="8"/>
        <v>Low</v>
      </c>
    </row>
    <row r="191" spans="1:22" x14ac:dyDescent="0.35">
      <c r="A191" s="11">
        <v>190</v>
      </c>
      <c r="B191" s="10">
        <v>41194</v>
      </c>
      <c r="C191" s="11">
        <v>2012</v>
      </c>
      <c r="D191" s="12" t="s">
        <v>41</v>
      </c>
      <c r="E191" s="10">
        <v>41196</v>
      </c>
      <c r="F191" s="11">
        <f t="shared" si="6"/>
        <v>2</v>
      </c>
      <c r="G191" s="11" t="s">
        <v>128</v>
      </c>
      <c r="H191" s="11" t="s">
        <v>412</v>
      </c>
      <c r="I191" s="11" t="s">
        <v>76</v>
      </c>
      <c r="J191" s="11" t="s">
        <v>890</v>
      </c>
      <c r="K191" s="11" t="s">
        <v>170</v>
      </c>
      <c r="L191" s="11" t="s">
        <v>171</v>
      </c>
      <c r="M191" s="11" t="s">
        <v>106</v>
      </c>
      <c r="N191" s="11" t="s">
        <v>27</v>
      </c>
      <c r="O191" s="11" t="s">
        <v>28</v>
      </c>
      <c r="P191" s="11" t="s">
        <v>413</v>
      </c>
      <c r="Q191" s="13">
        <v>899.13599999999997</v>
      </c>
      <c r="R191" s="11">
        <v>4</v>
      </c>
      <c r="S191" s="16">
        <v>0.2</v>
      </c>
      <c r="T191" s="13">
        <v>112.392</v>
      </c>
      <c r="U191" s="1" t="str">
        <f t="shared" si="7"/>
        <v>Profit</v>
      </c>
      <c r="V191" s="1" t="str">
        <f t="shared" si="8"/>
        <v>Medium</v>
      </c>
    </row>
    <row r="192" spans="1:22" x14ac:dyDescent="0.35">
      <c r="A192" s="11">
        <v>191</v>
      </c>
      <c r="B192" s="10">
        <v>41194</v>
      </c>
      <c r="C192" s="11">
        <v>2012</v>
      </c>
      <c r="D192" s="12" t="s">
        <v>41</v>
      </c>
      <c r="E192" s="10">
        <v>41196</v>
      </c>
      <c r="F192" s="11">
        <f t="shared" si="6"/>
        <v>2</v>
      </c>
      <c r="G192" s="11" t="s">
        <v>128</v>
      </c>
      <c r="H192" s="11" t="s">
        <v>412</v>
      </c>
      <c r="I192" s="11" t="s">
        <v>76</v>
      </c>
      <c r="J192" s="11" t="s">
        <v>890</v>
      </c>
      <c r="K192" s="11" t="s">
        <v>170</v>
      </c>
      <c r="L192" s="11" t="s">
        <v>171</v>
      </c>
      <c r="M192" s="11" t="s">
        <v>106</v>
      </c>
      <c r="N192" s="11" t="s">
        <v>55</v>
      </c>
      <c r="O192" s="11" t="s">
        <v>56</v>
      </c>
      <c r="P192" s="11" t="s">
        <v>414</v>
      </c>
      <c r="Q192" s="13">
        <v>71.760000000000005</v>
      </c>
      <c r="R192" s="11">
        <v>6</v>
      </c>
      <c r="S192" s="16">
        <v>0</v>
      </c>
      <c r="T192" s="13">
        <v>20.0928</v>
      </c>
      <c r="U192" s="1" t="str">
        <f t="shared" si="7"/>
        <v>Profit</v>
      </c>
      <c r="V192" s="1" t="str">
        <f t="shared" si="8"/>
        <v>Low</v>
      </c>
    </row>
    <row r="193" spans="1:22" x14ac:dyDescent="0.35">
      <c r="A193" s="11">
        <v>192</v>
      </c>
      <c r="B193" s="10">
        <v>41194</v>
      </c>
      <c r="C193" s="11">
        <v>2012</v>
      </c>
      <c r="D193" s="12" t="s">
        <v>41</v>
      </c>
      <c r="E193" s="10">
        <v>41196</v>
      </c>
      <c r="F193" s="11">
        <f t="shared" si="6"/>
        <v>2</v>
      </c>
      <c r="G193" s="11" t="s">
        <v>128</v>
      </c>
      <c r="H193" s="11" t="s">
        <v>412</v>
      </c>
      <c r="I193" s="11" t="s">
        <v>76</v>
      </c>
      <c r="J193" s="11" t="s">
        <v>890</v>
      </c>
      <c r="K193" s="11" t="s">
        <v>170</v>
      </c>
      <c r="L193" s="11" t="s">
        <v>171</v>
      </c>
      <c r="M193" s="11" t="s">
        <v>106</v>
      </c>
      <c r="N193" s="11" t="s">
        <v>38</v>
      </c>
      <c r="O193" s="11" t="s">
        <v>68</v>
      </c>
      <c r="P193" s="11" t="s">
        <v>415</v>
      </c>
      <c r="Q193" s="13">
        <v>51.84</v>
      </c>
      <c r="R193" s="11">
        <v>8</v>
      </c>
      <c r="S193" s="16">
        <v>0</v>
      </c>
      <c r="T193" s="13">
        <v>24.883199999999999</v>
      </c>
      <c r="U193" s="1" t="str">
        <f t="shared" si="7"/>
        <v>Profit</v>
      </c>
      <c r="V193" s="1" t="str">
        <f t="shared" si="8"/>
        <v>Low</v>
      </c>
    </row>
    <row r="194" spans="1:22" x14ac:dyDescent="0.35">
      <c r="A194" s="11">
        <v>193</v>
      </c>
      <c r="B194" s="10">
        <v>41194</v>
      </c>
      <c r="C194" s="11">
        <v>2012</v>
      </c>
      <c r="D194" s="12" t="s">
        <v>41</v>
      </c>
      <c r="E194" s="10">
        <v>41196</v>
      </c>
      <c r="F194" s="11">
        <f t="shared" ref="F194:F257" si="9">_xlfn.DAYS(E194,B194)</f>
        <v>2</v>
      </c>
      <c r="G194" s="11" t="s">
        <v>128</v>
      </c>
      <c r="H194" s="11" t="s">
        <v>412</v>
      </c>
      <c r="I194" s="11" t="s">
        <v>76</v>
      </c>
      <c r="J194" s="11" t="s">
        <v>890</v>
      </c>
      <c r="K194" s="11" t="s">
        <v>170</v>
      </c>
      <c r="L194" s="11" t="s">
        <v>171</v>
      </c>
      <c r="M194" s="11" t="s">
        <v>106</v>
      </c>
      <c r="N194" s="11" t="s">
        <v>27</v>
      </c>
      <c r="O194" s="11" t="s">
        <v>28</v>
      </c>
      <c r="P194" s="11" t="s">
        <v>135</v>
      </c>
      <c r="Q194" s="13">
        <v>626.35199999999998</v>
      </c>
      <c r="R194" s="11">
        <v>3</v>
      </c>
      <c r="S194" s="16">
        <v>0.2</v>
      </c>
      <c r="T194" s="13">
        <v>46.976399999999998</v>
      </c>
      <c r="U194" s="1" t="str">
        <f t="shared" si="7"/>
        <v>Profit</v>
      </c>
      <c r="V194" s="1" t="str">
        <f t="shared" si="8"/>
        <v>Medium</v>
      </c>
    </row>
    <row r="195" spans="1:22" x14ac:dyDescent="0.35">
      <c r="A195" s="11">
        <v>194</v>
      </c>
      <c r="B195" s="10">
        <v>41194</v>
      </c>
      <c r="C195" s="11">
        <v>2012</v>
      </c>
      <c r="D195" s="12" t="s">
        <v>41</v>
      </c>
      <c r="E195" s="10">
        <v>41196</v>
      </c>
      <c r="F195" s="11">
        <f t="shared" si="9"/>
        <v>2</v>
      </c>
      <c r="G195" s="11" t="s">
        <v>128</v>
      </c>
      <c r="H195" s="11" t="s">
        <v>412</v>
      </c>
      <c r="I195" s="11" t="s">
        <v>76</v>
      </c>
      <c r="J195" s="11" t="s">
        <v>890</v>
      </c>
      <c r="K195" s="11" t="s">
        <v>170</v>
      </c>
      <c r="L195" s="11" t="s">
        <v>171</v>
      </c>
      <c r="M195" s="11" t="s">
        <v>106</v>
      </c>
      <c r="N195" s="11" t="s">
        <v>38</v>
      </c>
      <c r="O195" s="11" t="s">
        <v>53</v>
      </c>
      <c r="P195" s="11" t="s">
        <v>416</v>
      </c>
      <c r="Q195" s="13">
        <v>19.899999999999999</v>
      </c>
      <c r="R195" s="11">
        <v>5</v>
      </c>
      <c r="S195" s="16">
        <v>0</v>
      </c>
      <c r="T195" s="13">
        <v>6.5670000000000002</v>
      </c>
      <c r="U195" s="1" t="str">
        <f t="shared" ref="U195:U258" si="10">IF(T195&gt;0,"Profit","Loss")</f>
        <v>Profit</v>
      </c>
      <c r="V195" s="1" t="str">
        <f t="shared" ref="V195:V258" si="11">IF(Q195&gt;=1000,"High",IF(Q195&gt;=500,"Medium","Low"))</f>
        <v>Low</v>
      </c>
    </row>
    <row r="196" spans="1:22" x14ac:dyDescent="0.35">
      <c r="A196" s="11">
        <v>195</v>
      </c>
      <c r="B196" s="10">
        <v>41213</v>
      </c>
      <c r="C196" s="11">
        <v>2012</v>
      </c>
      <c r="D196" s="12" t="s">
        <v>41</v>
      </c>
      <c r="E196" s="10">
        <v>41219</v>
      </c>
      <c r="F196" s="11">
        <f t="shared" si="9"/>
        <v>6</v>
      </c>
      <c r="G196" s="11" t="s">
        <v>42</v>
      </c>
      <c r="H196" s="11" t="s">
        <v>417</v>
      </c>
      <c r="I196" s="11" t="s">
        <v>34</v>
      </c>
      <c r="J196" s="11" t="s">
        <v>890</v>
      </c>
      <c r="K196" s="11" t="s">
        <v>418</v>
      </c>
      <c r="L196" s="11" t="s">
        <v>36</v>
      </c>
      <c r="M196" s="11" t="s">
        <v>37</v>
      </c>
      <c r="N196" s="11" t="s">
        <v>38</v>
      </c>
      <c r="O196" s="11" t="s">
        <v>120</v>
      </c>
      <c r="P196" s="11" t="s">
        <v>121</v>
      </c>
      <c r="Q196" s="13">
        <v>14.28</v>
      </c>
      <c r="R196" s="11">
        <v>7</v>
      </c>
      <c r="S196" s="16">
        <v>0</v>
      </c>
      <c r="T196" s="13">
        <v>6.7115999999999998</v>
      </c>
      <c r="U196" s="1" t="str">
        <f t="shared" si="10"/>
        <v>Profit</v>
      </c>
      <c r="V196" s="1" t="str">
        <f t="shared" si="11"/>
        <v>Low</v>
      </c>
    </row>
    <row r="197" spans="1:22" x14ac:dyDescent="0.35">
      <c r="A197" s="11">
        <v>196</v>
      </c>
      <c r="B197" s="10">
        <v>40623</v>
      </c>
      <c r="C197" s="11">
        <v>2011</v>
      </c>
      <c r="D197" s="12" t="s">
        <v>147</v>
      </c>
      <c r="E197" s="10">
        <v>40627</v>
      </c>
      <c r="F197" s="11">
        <f t="shared" si="9"/>
        <v>4</v>
      </c>
      <c r="G197" s="11" t="s">
        <v>42</v>
      </c>
      <c r="H197" s="11" t="s">
        <v>419</v>
      </c>
      <c r="I197" s="11" t="s">
        <v>23</v>
      </c>
      <c r="J197" s="11" t="s">
        <v>890</v>
      </c>
      <c r="K197" s="11" t="s">
        <v>420</v>
      </c>
      <c r="L197" s="11" t="s">
        <v>285</v>
      </c>
      <c r="M197" s="11" t="s">
        <v>106</v>
      </c>
      <c r="N197" s="11" t="s">
        <v>38</v>
      </c>
      <c r="O197" s="11" t="s">
        <v>53</v>
      </c>
      <c r="P197" s="11" t="s">
        <v>421</v>
      </c>
      <c r="Q197" s="13">
        <v>7.4080000000000004</v>
      </c>
      <c r="R197" s="11">
        <v>2</v>
      </c>
      <c r="S197" s="16">
        <v>0.2</v>
      </c>
      <c r="T197" s="13">
        <v>1.2038</v>
      </c>
      <c r="U197" s="1" t="str">
        <f t="shared" si="10"/>
        <v>Profit</v>
      </c>
      <c r="V197" s="1" t="str">
        <f t="shared" si="11"/>
        <v>Low</v>
      </c>
    </row>
    <row r="198" spans="1:22" x14ac:dyDescent="0.35">
      <c r="A198" s="11">
        <v>197</v>
      </c>
      <c r="B198" s="10">
        <v>40623</v>
      </c>
      <c r="C198" s="11">
        <v>2011</v>
      </c>
      <c r="D198" s="12" t="s">
        <v>147</v>
      </c>
      <c r="E198" s="10">
        <v>40627</v>
      </c>
      <c r="F198" s="11">
        <f t="shared" si="9"/>
        <v>4</v>
      </c>
      <c r="G198" s="11" t="s">
        <v>42</v>
      </c>
      <c r="H198" s="11" t="s">
        <v>419</v>
      </c>
      <c r="I198" s="11" t="s">
        <v>23</v>
      </c>
      <c r="J198" s="11" t="s">
        <v>890</v>
      </c>
      <c r="K198" s="11" t="s">
        <v>420</v>
      </c>
      <c r="L198" s="11" t="s">
        <v>285</v>
      </c>
      <c r="M198" s="11" t="s">
        <v>106</v>
      </c>
      <c r="N198" s="11" t="s">
        <v>38</v>
      </c>
      <c r="O198" s="11" t="s">
        <v>53</v>
      </c>
      <c r="P198" s="11" t="s">
        <v>422</v>
      </c>
      <c r="Q198" s="13">
        <v>6.048</v>
      </c>
      <c r="R198" s="11">
        <v>3</v>
      </c>
      <c r="S198" s="16">
        <v>0.2</v>
      </c>
      <c r="T198" s="13">
        <v>1.5875999999999999</v>
      </c>
      <c r="U198" s="1" t="str">
        <f t="shared" si="10"/>
        <v>Profit</v>
      </c>
      <c r="V198" s="1" t="str">
        <f t="shared" si="11"/>
        <v>Low</v>
      </c>
    </row>
    <row r="199" spans="1:22" x14ac:dyDescent="0.35">
      <c r="A199" s="11">
        <v>198</v>
      </c>
      <c r="B199" s="10">
        <v>41950</v>
      </c>
      <c r="C199" s="11">
        <v>2014</v>
      </c>
      <c r="D199" s="12" t="s">
        <v>20</v>
      </c>
      <c r="E199" s="10">
        <v>41957</v>
      </c>
      <c r="F199" s="11">
        <f t="shared" si="9"/>
        <v>7</v>
      </c>
      <c r="G199" s="11" t="s">
        <v>42</v>
      </c>
      <c r="H199" s="11" t="s">
        <v>423</v>
      </c>
      <c r="I199" s="11" t="s">
        <v>76</v>
      </c>
      <c r="J199" s="11" t="s">
        <v>890</v>
      </c>
      <c r="K199" s="11" t="s">
        <v>424</v>
      </c>
      <c r="L199" s="11" t="s">
        <v>425</v>
      </c>
      <c r="M199" s="11" t="s">
        <v>106</v>
      </c>
      <c r="N199" s="11" t="s">
        <v>38</v>
      </c>
      <c r="O199" s="11" t="s">
        <v>48</v>
      </c>
      <c r="P199" s="11" t="s">
        <v>426</v>
      </c>
      <c r="Q199" s="13">
        <v>46.26</v>
      </c>
      <c r="R199" s="11">
        <v>3</v>
      </c>
      <c r="S199" s="16">
        <v>0</v>
      </c>
      <c r="T199" s="13">
        <v>12.0276</v>
      </c>
      <c r="U199" s="1" t="str">
        <f t="shared" si="10"/>
        <v>Profit</v>
      </c>
      <c r="V199" s="1" t="str">
        <f t="shared" si="11"/>
        <v>Low</v>
      </c>
    </row>
    <row r="200" spans="1:22" x14ac:dyDescent="0.35">
      <c r="A200" s="11">
        <v>199</v>
      </c>
      <c r="B200" s="10">
        <v>41827</v>
      </c>
      <c r="C200" s="11">
        <v>2014</v>
      </c>
      <c r="D200" s="12" t="s">
        <v>102</v>
      </c>
      <c r="E200" s="10">
        <v>41834</v>
      </c>
      <c r="F200" s="11">
        <f t="shared" si="9"/>
        <v>7</v>
      </c>
      <c r="G200" s="11" t="s">
        <v>42</v>
      </c>
      <c r="H200" s="11" t="s">
        <v>427</v>
      </c>
      <c r="I200" s="11" t="s">
        <v>34</v>
      </c>
      <c r="J200" s="11" t="s">
        <v>890</v>
      </c>
      <c r="K200" s="11" t="s">
        <v>104</v>
      </c>
      <c r="L200" s="11" t="s">
        <v>105</v>
      </c>
      <c r="M200" s="11" t="s">
        <v>106</v>
      </c>
      <c r="N200" s="11" t="s">
        <v>38</v>
      </c>
      <c r="O200" s="11" t="s">
        <v>58</v>
      </c>
      <c r="P200" s="11" t="s">
        <v>428</v>
      </c>
      <c r="Q200" s="13">
        <v>2.9460000000000002</v>
      </c>
      <c r="R200" s="11">
        <v>2</v>
      </c>
      <c r="S200" s="16">
        <v>0.7</v>
      </c>
      <c r="T200" s="13">
        <v>-2.2585999999999999</v>
      </c>
      <c r="U200" s="1" t="str">
        <f t="shared" si="10"/>
        <v>Loss</v>
      </c>
      <c r="V200" s="1" t="str">
        <f t="shared" si="11"/>
        <v>Low</v>
      </c>
    </row>
    <row r="201" spans="1:22" x14ac:dyDescent="0.35">
      <c r="A201" s="11">
        <v>200</v>
      </c>
      <c r="B201" s="10">
        <v>41827</v>
      </c>
      <c r="C201" s="11">
        <v>2014</v>
      </c>
      <c r="D201" s="12" t="s">
        <v>102</v>
      </c>
      <c r="E201" s="10">
        <v>41834</v>
      </c>
      <c r="F201" s="11">
        <f t="shared" si="9"/>
        <v>7</v>
      </c>
      <c r="G201" s="11" t="s">
        <v>42</v>
      </c>
      <c r="H201" s="11" t="s">
        <v>427</v>
      </c>
      <c r="I201" s="11" t="s">
        <v>34</v>
      </c>
      <c r="J201" s="11" t="s">
        <v>890</v>
      </c>
      <c r="K201" s="11" t="s">
        <v>104</v>
      </c>
      <c r="L201" s="11" t="s">
        <v>105</v>
      </c>
      <c r="M201" s="11" t="s">
        <v>106</v>
      </c>
      <c r="N201" s="11" t="s">
        <v>38</v>
      </c>
      <c r="O201" s="11" t="s">
        <v>68</v>
      </c>
      <c r="P201" s="11" t="s">
        <v>429</v>
      </c>
      <c r="Q201" s="13">
        <v>16.056000000000001</v>
      </c>
      <c r="R201" s="11">
        <v>3</v>
      </c>
      <c r="S201" s="16">
        <v>0.2</v>
      </c>
      <c r="T201" s="13">
        <v>5.8202999999999996</v>
      </c>
      <c r="U201" s="1" t="str">
        <f t="shared" si="10"/>
        <v>Profit</v>
      </c>
      <c r="V201" s="1" t="str">
        <f t="shared" si="11"/>
        <v>Low</v>
      </c>
    </row>
    <row r="202" spans="1:22" x14ac:dyDescent="0.35">
      <c r="A202" s="11">
        <v>201</v>
      </c>
      <c r="B202" s="10">
        <v>41815</v>
      </c>
      <c r="C202" s="11">
        <v>2014</v>
      </c>
      <c r="D202" s="12" t="s">
        <v>32</v>
      </c>
      <c r="E202" s="10">
        <v>41820</v>
      </c>
      <c r="F202" s="11">
        <f t="shared" si="9"/>
        <v>5</v>
      </c>
      <c r="G202" s="11" t="s">
        <v>42</v>
      </c>
      <c r="H202" s="11" t="s">
        <v>430</v>
      </c>
      <c r="I202" s="11" t="s">
        <v>23</v>
      </c>
      <c r="J202" s="11" t="s">
        <v>890</v>
      </c>
      <c r="K202" s="11" t="s">
        <v>431</v>
      </c>
      <c r="L202" s="11" t="s">
        <v>285</v>
      </c>
      <c r="M202" s="11" t="s">
        <v>106</v>
      </c>
      <c r="N202" s="11" t="s">
        <v>38</v>
      </c>
      <c r="O202" s="11" t="s">
        <v>68</v>
      </c>
      <c r="P202" s="11" t="s">
        <v>432</v>
      </c>
      <c r="Q202" s="13">
        <v>21.744</v>
      </c>
      <c r="R202" s="11">
        <v>3</v>
      </c>
      <c r="S202" s="16">
        <v>0.2</v>
      </c>
      <c r="T202" s="13">
        <v>6.7949999999999999</v>
      </c>
      <c r="U202" s="1" t="str">
        <f t="shared" si="10"/>
        <v>Profit</v>
      </c>
      <c r="V202" s="1" t="str">
        <f t="shared" si="11"/>
        <v>Low</v>
      </c>
    </row>
    <row r="203" spans="1:22" x14ac:dyDescent="0.35">
      <c r="A203" s="11">
        <v>202</v>
      </c>
      <c r="B203" s="10">
        <v>40758</v>
      </c>
      <c r="C203" s="11">
        <v>2011</v>
      </c>
      <c r="D203" s="12" t="s">
        <v>91</v>
      </c>
      <c r="E203" s="10">
        <v>40760</v>
      </c>
      <c r="F203" s="11">
        <f t="shared" si="9"/>
        <v>2</v>
      </c>
      <c r="G203" s="11" t="s">
        <v>128</v>
      </c>
      <c r="H203" s="11" t="s">
        <v>433</v>
      </c>
      <c r="I203" s="11" t="s">
        <v>23</v>
      </c>
      <c r="J203" s="11" t="s">
        <v>890</v>
      </c>
      <c r="K203" s="11" t="s">
        <v>434</v>
      </c>
      <c r="L203" s="11" t="s">
        <v>264</v>
      </c>
      <c r="M203" s="11" t="s">
        <v>37</v>
      </c>
      <c r="N203" s="11" t="s">
        <v>27</v>
      </c>
      <c r="O203" s="11" t="s">
        <v>46</v>
      </c>
      <c r="P203" s="11" t="s">
        <v>435</v>
      </c>
      <c r="Q203" s="13">
        <v>218.75</v>
      </c>
      <c r="R203" s="11">
        <v>2</v>
      </c>
      <c r="S203" s="16">
        <v>0.5</v>
      </c>
      <c r="T203" s="13">
        <v>-161.875</v>
      </c>
      <c r="U203" s="1" t="str">
        <f t="shared" si="10"/>
        <v>Loss</v>
      </c>
      <c r="V203" s="1" t="str">
        <f t="shared" si="11"/>
        <v>Low</v>
      </c>
    </row>
    <row r="204" spans="1:22" x14ac:dyDescent="0.35">
      <c r="A204" s="11">
        <v>203</v>
      </c>
      <c r="B204" s="10">
        <v>40758</v>
      </c>
      <c r="C204" s="11">
        <v>2011</v>
      </c>
      <c r="D204" s="12" t="s">
        <v>91</v>
      </c>
      <c r="E204" s="10">
        <v>40760</v>
      </c>
      <c r="F204" s="11">
        <f t="shared" si="9"/>
        <v>2</v>
      </c>
      <c r="G204" s="11" t="s">
        <v>128</v>
      </c>
      <c r="H204" s="11" t="s">
        <v>433</v>
      </c>
      <c r="I204" s="11" t="s">
        <v>23</v>
      </c>
      <c r="J204" s="11" t="s">
        <v>890</v>
      </c>
      <c r="K204" s="11" t="s">
        <v>434</v>
      </c>
      <c r="L204" s="11" t="s">
        <v>264</v>
      </c>
      <c r="M204" s="11" t="s">
        <v>37</v>
      </c>
      <c r="N204" s="11" t="s">
        <v>38</v>
      </c>
      <c r="O204" s="11" t="s">
        <v>60</v>
      </c>
      <c r="P204" s="11" t="s">
        <v>436</v>
      </c>
      <c r="Q204" s="13">
        <v>2.6</v>
      </c>
      <c r="R204" s="11">
        <v>1</v>
      </c>
      <c r="S204" s="16">
        <v>0.2</v>
      </c>
      <c r="T204" s="13">
        <v>0.29249999999999998</v>
      </c>
      <c r="U204" s="1" t="str">
        <f t="shared" si="10"/>
        <v>Profit</v>
      </c>
      <c r="V204" s="1" t="str">
        <f t="shared" si="11"/>
        <v>Low</v>
      </c>
    </row>
    <row r="205" spans="1:22" x14ac:dyDescent="0.35">
      <c r="A205" s="11">
        <v>204</v>
      </c>
      <c r="B205" s="10">
        <v>41991</v>
      </c>
      <c r="C205" s="11">
        <v>2014</v>
      </c>
      <c r="D205" s="12" t="s">
        <v>70</v>
      </c>
      <c r="E205" s="10">
        <v>41995</v>
      </c>
      <c r="F205" s="11">
        <f t="shared" si="9"/>
        <v>4</v>
      </c>
      <c r="G205" s="11" t="s">
        <v>21</v>
      </c>
      <c r="H205" s="11" t="s">
        <v>437</v>
      </c>
      <c r="I205" s="11" t="s">
        <v>23</v>
      </c>
      <c r="J205" s="11" t="s">
        <v>890</v>
      </c>
      <c r="K205" s="11" t="s">
        <v>438</v>
      </c>
      <c r="L205" s="11" t="s">
        <v>78</v>
      </c>
      <c r="M205" s="11" t="s">
        <v>79</v>
      </c>
      <c r="N205" s="11" t="s">
        <v>38</v>
      </c>
      <c r="O205" s="11" t="s">
        <v>60</v>
      </c>
      <c r="P205" s="11" t="s">
        <v>439</v>
      </c>
      <c r="Q205" s="13">
        <v>66.284000000000006</v>
      </c>
      <c r="R205" s="11">
        <v>2</v>
      </c>
      <c r="S205" s="16">
        <v>0.8</v>
      </c>
      <c r="T205" s="13">
        <v>-178.96680000000001</v>
      </c>
      <c r="U205" s="1" t="str">
        <f t="shared" si="10"/>
        <v>Loss</v>
      </c>
      <c r="V205" s="1" t="str">
        <f t="shared" si="11"/>
        <v>Low</v>
      </c>
    </row>
    <row r="206" spans="1:22" x14ac:dyDescent="0.35">
      <c r="A206" s="11">
        <v>205</v>
      </c>
      <c r="B206" s="10">
        <v>41794</v>
      </c>
      <c r="C206" s="11">
        <v>2014</v>
      </c>
      <c r="D206" s="12" t="s">
        <v>32</v>
      </c>
      <c r="E206" s="10">
        <v>41798</v>
      </c>
      <c r="F206" s="11">
        <f t="shared" si="9"/>
        <v>4</v>
      </c>
      <c r="G206" s="11" t="s">
        <v>42</v>
      </c>
      <c r="H206" s="11" t="s">
        <v>440</v>
      </c>
      <c r="I206" s="11" t="s">
        <v>34</v>
      </c>
      <c r="J206" s="11" t="s">
        <v>890</v>
      </c>
      <c r="K206" s="11" t="s">
        <v>341</v>
      </c>
      <c r="L206" s="11" t="s">
        <v>206</v>
      </c>
      <c r="M206" s="11" t="s">
        <v>26</v>
      </c>
      <c r="N206" s="11" t="s">
        <v>27</v>
      </c>
      <c r="O206" s="11" t="s">
        <v>51</v>
      </c>
      <c r="P206" s="11" t="s">
        <v>441</v>
      </c>
      <c r="Q206" s="13">
        <v>35.167999999999999</v>
      </c>
      <c r="R206" s="11">
        <v>7</v>
      </c>
      <c r="S206" s="16">
        <v>0.2</v>
      </c>
      <c r="T206" s="13">
        <v>9.6712000000000007</v>
      </c>
      <c r="U206" s="1" t="str">
        <f t="shared" si="10"/>
        <v>Profit</v>
      </c>
      <c r="V206" s="1" t="str">
        <f t="shared" si="11"/>
        <v>Low</v>
      </c>
    </row>
    <row r="207" spans="1:22" x14ac:dyDescent="0.35">
      <c r="A207" s="11">
        <v>206</v>
      </c>
      <c r="B207" s="10">
        <v>41983</v>
      </c>
      <c r="C207" s="11">
        <v>2014</v>
      </c>
      <c r="D207" s="12" t="s">
        <v>70</v>
      </c>
      <c r="E207" s="10">
        <v>41988</v>
      </c>
      <c r="F207" s="11">
        <f t="shared" si="9"/>
        <v>5</v>
      </c>
      <c r="G207" s="11" t="s">
        <v>42</v>
      </c>
      <c r="H207" s="11" t="s">
        <v>442</v>
      </c>
      <c r="I207" s="11" t="s">
        <v>23</v>
      </c>
      <c r="J207" s="11" t="s">
        <v>890</v>
      </c>
      <c r="K207" s="11" t="s">
        <v>443</v>
      </c>
      <c r="L207" s="11" t="s">
        <v>36</v>
      </c>
      <c r="M207" s="11" t="s">
        <v>37</v>
      </c>
      <c r="N207" s="11" t="s">
        <v>55</v>
      </c>
      <c r="O207" s="11" t="s">
        <v>56</v>
      </c>
      <c r="P207" s="11" t="s">
        <v>444</v>
      </c>
      <c r="Q207" s="13">
        <v>444.76799999999997</v>
      </c>
      <c r="R207" s="11">
        <v>4</v>
      </c>
      <c r="S207" s="16">
        <v>0.2</v>
      </c>
      <c r="T207" s="13">
        <v>44.476799999999997</v>
      </c>
      <c r="U207" s="1" t="str">
        <f t="shared" si="10"/>
        <v>Profit</v>
      </c>
      <c r="V207" s="1" t="str">
        <f t="shared" si="11"/>
        <v>Low</v>
      </c>
    </row>
    <row r="208" spans="1:22" x14ac:dyDescent="0.35">
      <c r="A208" s="11">
        <v>207</v>
      </c>
      <c r="B208" s="10">
        <v>41975</v>
      </c>
      <c r="C208" s="11">
        <v>2014</v>
      </c>
      <c r="D208" s="12" t="s">
        <v>70</v>
      </c>
      <c r="E208" s="10">
        <v>41981</v>
      </c>
      <c r="F208" s="11">
        <f t="shared" si="9"/>
        <v>6</v>
      </c>
      <c r="G208" s="11" t="s">
        <v>42</v>
      </c>
      <c r="H208" s="11" t="s">
        <v>445</v>
      </c>
      <c r="I208" s="11" t="s">
        <v>23</v>
      </c>
      <c r="J208" s="11" t="s">
        <v>890</v>
      </c>
      <c r="K208" s="11" t="s">
        <v>446</v>
      </c>
      <c r="L208" s="11" t="s">
        <v>155</v>
      </c>
      <c r="M208" s="11" t="s">
        <v>79</v>
      </c>
      <c r="N208" s="11" t="s">
        <v>38</v>
      </c>
      <c r="O208" s="11" t="s">
        <v>48</v>
      </c>
      <c r="P208" s="11" t="s">
        <v>447</v>
      </c>
      <c r="Q208" s="13">
        <v>83.92</v>
      </c>
      <c r="R208" s="11">
        <v>4</v>
      </c>
      <c r="S208" s="16">
        <v>0</v>
      </c>
      <c r="T208" s="13">
        <v>5.8743999999999996</v>
      </c>
      <c r="U208" s="1" t="str">
        <f t="shared" si="10"/>
        <v>Profit</v>
      </c>
      <c r="V208" s="1" t="str">
        <f t="shared" si="11"/>
        <v>Low</v>
      </c>
    </row>
    <row r="209" spans="1:22" x14ac:dyDescent="0.35">
      <c r="A209" s="11">
        <v>208</v>
      </c>
      <c r="B209" s="10">
        <v>41975</v>
      </c>
      <c r="C209" s="11">
        <v>2014</v>
      </c>
      <c r="D209" s="12" t="s">
        <v>70</v>
      </c>
      <c r="E209" s="10">
        <v>41981</v>
      </c>
      <c r="F209" s="11">
        <f t="shared" si="9"/>
        <v>6</v>
      </c>
      <c r="G209" s="11" t="s">
        <v>42</v>
      </c>
      <c r="H209" s="11" t="s">
        <v>445</v>
      </c>
      <c r="I209" s="11" t="s">
        <v>23</v>
      </c>
      <c r="J209" s="11" t="s">
        <v>890</v>
      </c>
      <c r="K209" s="11" t="s">
        <v>446</v>
      </c>
      <c r="L209" s="11" t="s">
        <v>155</v>
      </c>
      <c r="M209" s="11" t="s">
        <v>79</v>
      </c>
      <c r="N209" s="11" t="s">
        <v>55</v>
      </c>
      <c r="O209" s="11" t="s">
        <v>56</v>
      </c>
      <c r="P209" s="11" t="s">
        <v>448</v>
      </c>
      <c r="Q209" s="13">
        <v>131.97999999999999</v>
      </c>
      <c r="R209" s="11">
        <v>2</v>
      </c>
      <c r="S209" s="16">
        <v>0</v>
      </c>
      <c r="T209" s="13">
        <v>35.634599999999999</v>
      </c>
      <c r="U209" s="1" t="str">
        <f t="shared" si="10"/>
        <v>Profit</v>
      </c>
      <c r="V209" s="1" t="str">
        <f t="shared" si="11"/>
        <v>Low</v>
      </c>
    </row>
    <row r="210" spans="1:22" x14ac:dyDescent="0.35">
      <c r="A210" s="11">
        <v>209</v>
      </c>
      <c r="B210" s="10">
        <v>41975</v>
      </c>
      <c r="C210" s="11">
        <v>2014</v>
      </c>
      <c r="D210" s="12" t="s">
        <v>70</v>
      </c>
      <c r="E210" s="10">
        <v>41981</v>
      </c>
      <c r="F210" s="11">
        <f t="shared" si="9"/>
        <v>6</v>
      </c>
      <c r="G210" s="11" t="s">
        <v>42</v>
      </c>
      <c r="H210" s="11" t="s">
        <v>445</v>
      </c>
      <c r="I210" s="11" t="s">
        <v>23</v>
      </c>
      <c r="J210" s="11" t="s">
        <v>890</v>
      </c>
      <c r="K210" s="11" t="s">
        <v>446</v>
      </c>
      <c r="L210" s="11" t="s">
        <v>155</v>
      </c>
      <c r="M210" s="11" t="s">
        <v>79</v>
      </c>
      <c r="N210" s="11" t="s">
        <v>38</v>
      </c>
      <c r="O210" s="11" t="s">
        <v>58</v>
      </c>
      <c r="P210" s="11" t="s">
        <v>308</v>
      </c>
      <c r="Q210" s="13">
        <v>15.92</v>
      </c>
      <c r="R210" s="11">
        <v>4</v>
      </c>
      <c r="S210" s="16">
        <v>0</v>
      </c>
      <c r="T210" s="13">
        <v>7.4824000000000002</v>
      </c>
      <c r="U210" s="1" t="str">
        <f t="shared" si="10"/>
        <v>Profit</v>
      </c>
      <c r="V210" s="1" t="str">
        <f t="shared" si="11"/>
        <v>Low</v>
      </c>
    </row>
    <row r="211" spans="1:22" x14ac:dyDescent="0.35">
      <c r="A211" s="11">
        <v>210</v>
      </c>
      <c r="B211" s="10">
        <v>41975</v>
      </c>
      <c r="C211" s="11">
        <v>2014</v>
      </c>
      <c r="D211" s="12" t="s">
        <v>70</v>
      </c>
      <c r="E211" s="10">
        <v>41981</v>
      </c>
      <c r="F211" s="11">
        <f t="shared" si="9"/>
        <v>6</v>
      </c>
      <c r="G211" s="11" t="s">
        <v>42</v>
      </c>
      <c r="H211" s="11" t="s">
        <v>445</v>
      </c>
      <c r="I211" s="11" t="s">
        <v>23</v>
      </c>
      <c r="J211" s="11" t="s">
        <v>890</v>
      </c>
      <c r="K211" s="11" t="s">
        <v>446</v>
      </c>
      <c r="L211" s="11" t="s">
        <v>155</v>
      </c>
      <c r="M211" s="11" t="s">
        <v>79</v>
      </c>
      <c r="N211" s="11" t="s">
        <v>38</v>
      </c>
      <c r="O211" s="11" t="s">
        <v>172</v>
      </c>
      <c r="P211" s="11" t="s">
        <v>449</v>
      </c>
      <c r="Q211" s="13">
        <v>52.29</v>
      </c>
      <c r="R211" s="11">
        <v>9</v>
      </c>
      <c r="S211" s="16">
        <v>0</v>
      </c>
      <c r="T211" s="13">
        <v>16.209900000000001</v>
      </c>
      <c r="U211" s="1" t="str">
        <f t="shared" si="10"/>
        <v>Profit</v>
      </c>
      <c r="V211" s="1" t="str">
        <f t="shared" si="11"/>
        <v>Low</v>
      </c>
    </row>
    <row r="212" spans="1:22" x14ac:dyDescent="0.35">
      <c r="A212" s="11">
        <v>211</v>
      </c>
      <c r="B212" s="10">
        <v>41975</v>
      </c>
      <c r="C212" s="11">
        <v>2014</v>
      </c>
      <c r="D212" s="12" t="s">
        <v>70</v>
      </c>
      <c r="E212" s="10">
        <v>41981</v>
      </c>
      <c r="F212" s="11">
        <f t="shared" si="9"/>
        <v>6</v>
      </c>
      <c r="G212" s="11" t="s">
        <v>42</v>
      </c>
      <c r="H212" s="11" t="s">
        <v>445</v>
      </c>
      <c r="I212" s="11" t="s">
        <v>23</v>
      </c>
      <c r="J212" s="11" t="s">
        <v>890</v>
      </c>
      <c r="K212" s="11" t="s">
        <v>446</v>
      </c>
      <c r="L212" s="11" t="s">
        <v>155</v>
      </c>
      <c r="M212" s="11" t="s">
        <v>79</v>
      </c>
      <c r="N212" s="11" t="s">
        <v>38</v>
      </c>
      <c r="O212" s="11" t="s">
        <v>48</v>
      </c>
      <c r="P212" s="11" t="s">
        <v>450</v>
      </c>
      <c r="Q212" s="13">
        <v>91.99</v>
      </c>
      <c r="R212" s="11">
        <v>1</v>
      </c>
      <c r="S212" s="16">
        <v>0</v>
      </c>
      <c r="T212" s="13">
        <v>3.6796000000000002</v>
      </c>
      <c r="U212" s="1" t="str">
        <f t="shared" si="10"/>
        <v>Profit</v>
      </c>
      <c r="V212" s="1" t="str">
        <f t="shared" si="11"/>
        <v>Low</v>
      </c>
    </row>
    <row r="213" spans="1:22" x14ac:dyDescent="0.35">
      <c r="A213" s="11">
        <v>212</v>
      </c>
      <c r="B213" s="10">
        <v>40948</v>
      </c>
      <c r="C213" s="11">
        <v>2012</v>
      </c>
      <c r="D213" s="12" t="s">
        <v>313</v>
      </c>
      <c r="E213" s="10">
        <v>40952</v>
      </c>
      <c r="F213" s="11">
        <f t="shared" si="9"/>
        <v>4</v>
      </c>
      <c r="G213" s="11" t="s">
        <v>21</v>
      </c>
      <c r="H213" s="11" t="s">
        <v>451</v>
      </c>
      <c r="I213" s="11" t="s">
        <v>34</v>
      </c>
      <c r="J213" s="11" t="s">
        <v>890</v>
      </c>
      <c r="K213" s="11" t="s">
        <v>438</v>
      </c>
      <c r="L213" s="11" t="s">
        <v>78</v>
      </c>
      <c r="M213" s="11" t="s">
        <v>79</v>
      </c>
      <c r="N213" s="11" t="s">
        <v>55</v>
      </c>
      <c r="O213" s="11" t="s">
        <v>114</v>
      </c>
      <c r="P213" s="11" t="s">
        <v>452</v>
      </c>
      <c r="Q213" s="13">
        <v>20.8</v>
      </c>
      <c r="R213" s="11">
        <v>2</v>
      </c>
      <c r="S213" s="16">
        <v>0.2</v>
      </c>
      <c r="T213" s="13">
        <v>6.5</v>
      </c>
      <c r="U213" s="1" t="str">
        <f t="shared" si="10"/>
        <v>Profit</v>
      </c>
      <c r="V213" s="1" t="str">
        <f t="shared" si="11"/>
        <v>Low</v>
      </c>
    </row>
    <row r="214" spans="1:22" x14ac:dyDescent="0.35">
      <c r="A214" s="11">
        <v>213</v>
      </c>
      <c r="B214" s="10">
        <v>40910</v>
      </c>
      <c r="C214" s="11">
        <v>2012</v>
      </c>
      <c r="D214" s="12" t="s">
        <v>111</v>
      </c>
      <c r="E214" s="10">
        <v>40917</v>
      </c>
      <c r="F214" s="11">
        <f t="shared" si="9"/>
        <v>7</v>
      </c>
      <c r="G214" s="11" t="s">
        <v>42</v>
      </c>
      <c r="H214" s="11" t="s">
        <v>453</v>
      </c>
      <c r="I214" s="11" t="s">
        <v>34</v>
      </c>
      <c r="J214" s="11" t="s">
        <v>890</v>
      </c>
      <c r="K214" s="11" t="s">
        <v>454</v>
      </c>
      <c r="L214" s="11" t="s">
        <v>285</v>
      </c>
      <c r="M214" s="11" t="s">
        <v>106</v>
      </c>
      <c r="N214" s="11" t="s">
        <v>38</v>
      </c>
      <c r="O214" s="11" t="s">
        <v>39</v>
      </c>
      <c r="P214" s="11" t="s">
        <v>455</v>
      </c>
      <c r="Q214" s="13">
        <v>23.68</v>
      </c>
      <c r="R214" s="11">
        <v>2</v>
      </c>
      <c r="S214" s="16">
        <v>0.2</v>
      </c>
      <c r="T214" s="13">
        <v>8.8800000000000008</v>
      </c>
      <c r="U214" s="1" t="str">
        <f t="shared" si="10"/>
        <v>Profit</v>
      </c>
      <c r="V214" s="1" t="str">
        <f t="shared" si="11"/>
        <v>Low</v>
      </c>
    </row>
    <row r="215" spans="1:22" x14ac:dyDescent="0.35">
      <c r="A215" s="11">
        <v>214</v>
      </c>
      <c r="B215" s="10">
        <v>40910</v>
      </c>
      <c r="C215" s="11">
        <v>2012</v>
      </c>
      <c r="D215" s="12" t="s">
        <v>111</v>
      </c>
      <c r="E215" s="10">
        <v>40917</v>
      </c>
      <c r="F215" s="11">
        <f t="shared" si="9"/>
        <v>7</v>
      </c>
      <c r="G215" s="11" t="s">
        <v>42</v>
      </c>
      <c r="H215" s="11" t="s">
        <v>453</v>
      </c>
      <c r="I215" s="11" t="s">
        <v>34</v>
      </c>
      <c r="J215" s="11" t="s">
        <v>890</v>
      </c>
      <c r="K215" s="11" t="s">
        <v>454</v>
      </c>
      <c r="L215" s="11" t="s">
        <v>285</v>
      </c>
      <c r="M215" s="11" t="s">
        <v>106</v>
      </c>
      <c r="N215" s="11" t="s">
        <v>27</v>
      </c>
      <c r="O215" s="11" t="s">
        <v>28</v>
      </c>
      <c r="P215" s="11" t="s">
        <v>456</v>
      </c>
      <c r="Q215" s="13">
        <v>452.45</v>
      </c>
      <c r="R215" s="11">
        <v>5</v>
      </c>
      <c r="S215" s="16">
        <v>0.5</v>
      </c>
      <c r="T215" s="13">
        <v>-244.32300000000001</v>
      </c>
      <c r="U215" s="1" t="str">
        <f t="shared" si="10"/>
        <v>Loss</v>
      </c>
      <c r="V215" s="1" t="str">
        <f t="shared" si="11"/>
        <v>Low</v>
      </c>
    </row>
    <row r="216" spans="1:22" x14ac:dyDescent="0.35">
      <c r="A216" s="11">
        <v>215</v>
      </c>
      <c r="B216" s="10">
        <v>40910</v>
      </c>
      <c r="C216" s="11">
        <v>2012</v>
      </c>
      <c r="D216" s="12" t="s">
        <v>111</v>
      </c>
      <c r="E216" s="10">
        <v>40917</v>
      </c>
      <c r="F216" s="11">
        <f t="shared" si="9"/>
        <v>7</v>
      </c>
      <c r="G216" s="11" t="s">
        <v>42</v>
      </c>
      <c r="H216" s="11" t="s">
        <v>453</v>
      </c>
      <c r="I216" s="11" t="s">
        <v>34</v>
      </c>
      <c r="J216" s="11" t="s">
        <v>890</v>
      </c>
      <c r="K216" s="11" t="s">
        <v>454</v>
      </c>
      <c r="L216" s="11" t="s">
        <v>285</v>
      </c>
      <c r="M216" s="11" t="s">
        <v>106</v>
      </c>
      <c r="N216" s="11" t="s">
        <v>55</v>
      </c>
      <c r="O216" s="11" t="s">
        <v>56</v>
      </c>
      <c r="P216" s="11" t="s">
        <v>271</v>
      </c>
      <c r="Q216" s="13">
        <v>62.981999999999999</v>
      </c>
      <c r="R216" s="11">
        <v>3</v>
      </c>
      <c r="S216" s="16">
        <v>0.4</v>
      </c>
      <c r="T216" s="13">
        <v>-14.6958</v>
      </c>
      <c r="U216" s="1" t="str">
        <f t="shared" si="10"/>
        <v>Loss</v>
      </c>
      <c r="V216" s="1" t="str">
        <f t="shared" si="11"/>
        <v>Low</v>
      </c>
    </row>
    <row r="217" spans="1:22" x14ac:dyDescent="0.35">
      <c r="A217" s="11">
        <v>216</v>
      </c>
      <c r="B217" s="10">
        <v>40910</v>
      </c>
      <c r="C217" s="11">
        <v>2012</v>
      </c>
      <c r="D217" s="12" t="s">
        <v>111</v>
      </c>
      <c r="E217" s="10">
        <v>40917</v>
      </c>
      <c r="F217" s="11">
        <f t="shared" si="9"/>
        <v>7</v>
      </c>
      <c r="G217" s="11" t="s">
        <v>42</v>
      </c>
      <c r="H217" s="11" t="s">
        <v>453</v>
      </c>
      <c r="I217" s="11" t="s">
        <v>34</v>
      </c>
      <c r="J217" s="11" t="s">
        <v>890</v>
      </c>
      <c r="K217" s="11" t="s">
        <v>454</v>
      </c>
      <c r="L217" s="11" t="s">
        <v>285</v>
      </c>
      <c r="M217" s="11" t="s">
        <v>106</v>
      </c>
      <c r="N217" s="11" t="s">
        <v>55</v>
      </c>
      <c r="O217" s="11" t="s">
        <v>374</v>
      </c>
      <c r="P217" s="11" t="s">
        <v>457</v>
      </c>
      <c r="Q217" s="13">
        <v>1188</v>
      </c>
      <c r="R217" s="11">
        <v>9</v>
      </c>
      <c r="S217" s="16">
        <v>0.7</v>
      </c>
      <c r="T217" s="13">
        <v>-950.4</v>
      </c>
      <c r="U217" s="1" t="str">
        <f t="shared" si="10"/>
        <v>Loss</v>
      </c>
      <c r="V217" s="1" t="str">
        <f t="shared" si="11"/>
        <v>High</v>
      </c>
    </row>
    <row r="218" spans="1:22" x14ac:dyDescent="0.35">
      <c r="A218" s="11">
        <v>217</v>
      </c>
      <c r="B218" s="10">
        <v>40910</v>
      </c>
      <c r="C218" s="11">
        <v>2012</v>
      </c>
      <c r="D218" s="12" t="s">
        <v>111</v>
      </c>
      <c r="E218" s="10">
        <v>40917</v>
      </c>
      <c r="F218" s="11">
        <f t="shared" si="9"/>
        <v>7</v>
      </c>
      <c r="G218" s="11" t="s">
        <v>42</v>
      </c>
      <c r="H218" s="11" t="s">
        <v>453</v>
      </c>
      <c r="I218" s="11" t="s">
        <v>34</v>
      </c>
      <c r="J218" s="11" t="s">
        <v>890</v>
      </c>
      <c r="K218" s="11" t="s">
        <v>454</v>
      </c>
      <c r="L218" s="11" t="s">
        <v>285</v>
      </c>
      <c r="M218" s="11" t="s">
        <v>106</v>
      </c>
      <c r="N218" s="11" t="s">
        <v>55</v>
      </c>
      <c r="O218" s="11" t="s">
        <v>114</v>
      </c>
      <c r="P218" s="11" t="s">
        <v>458</v>
      </c>
      <c r="Q218" s="13">
        <v>89.584000000000003</v>
      </c>
      <c r="R218" s="11">
        <v>2</v>
      </c>
      <c r="S218" s="16">
        <v>0.2</v>
      </c>
      <c r="T218" s="13">
        <v>4.4791999999999996</v>
      </c>
      <c r="U218" s="1" t="str">
        <f t="shared" si="10"/>
        <v>Profit</v>
      </c>
      <c r="V218" s="1" t="str">
        <f t="shared" si="11"/>
        <v>Low</v>
      </c>
    </row>
    <row r="219" spans="1:22" x14ac:dyDescent="0.35">
      <c r="A219" s="11">
        <v>218</v>
      </c>
      <c r="B219" s="10">
        <v>41576</v>
      </c>
      <c r="C219" s="11">
        <v>2013</v>
      </c>
      <c r="D219" s="12" t="s">
        <v>41</v>
      </c>
      <c r="E219" s="10">
        <v>41580</v>
      </c>
      <c r="F219" s="11">
        <f t="shared" si="9"/>
        <v>4</v>
      </c>
      <c r="G219" s="11" t="s">
        <v>42</v>
      </c>
      <c r="H219" s="11" t="s">
        <v>459</v>
      </c>
      <c r="I219" s="11" t="s">
        <v>23</v>
      </c>
      <c r="J219" s="11" t="s">
        <v>890</v>
      </c>
      <c r="K219" s="11" t="s">
        <v>35</v>
      </c>
      <c r="L219" s="11" t="s">
        <v>36</v>
      </c>
      <c r="M219" s="11" t="s">
        <v>37</v>
      </c>
      <c r="N219" s="11" t="s">
        <v>38</v>
      </c>
      <c r="O219" s="11" t="s">
        <v>48</v>
      </c>
      <c r="P219" s="11" t="s">
        <v>411</v>
      </c>
      <c r="Q219" s="13">
        <v>93.06</v>
      </c>
      <c r="R219" s="11">
        <v>6</v>
      </c>
      <c r="S219" s="16">
        <v>0</v>
      </c>
      <c r="T219" s="13">
        <v>26.056799999999999</v>
      </c>
      <c r="U219" s="1" t="str">
        <f t="shared" si="10"/>
        <v>Profit</v>
      </c>
      <c r="V219" s="1" t="str">
        <f t="shared" si="11"/>
        <v>Low</v>
      </c>
    </row>
    <row r="220" spans="1:22" x14ac:dyDescent="0.35">
      <c r="A220" s="11">
        <v>219</v>
      </c>
      <c r="B220" s="10">
        <v>41576</v>
      </c>
      <c r="C220" s="11">
        <v>2013</v>
      </c>
      <c r="D220" s="12" t="s">
        <v>41</v>
      </c>
      <c r="E220" s="10">
        <v>41580</v>
      </c>
      <c r="F220" s="11">
        <f t="shared" si="9"/>
        <v>4</v>
      </c>
      <c r="G220" s="11" t="s">
        <v>42</v>
      </c>
      <c r="H220" s="11" t="s">
        <v>459</v>
      </c>
      <c r="I220" s="11" t="s">
        <v>23</v>
      </c>
      <c r="J220" s="11" t="s">
        <v>890</v>
      </c>
      <c r="K220" s="11" t="s">
        <v>35</v>
      </c>
      <c r="L220" s="11" t="s">
        <v>36</v>
      </c>
      <c r="M220" s="11" t="s">
        <v>37</v>
      </c>
      <c r="N220" s="11" t="s">
        <v>55</v>
      </c>
      <c r="O220" s="11" t="s">
        <v>56</v>
      </c>
      <c r="P220" s="11" t="s">
        <v>460</v>
      </c>
      <c r="Q220" s="13">
        <v>302.37599999999998</v>
      </c>
      <c r="R220" s="11">
        <v>3</v>
      </c>
      <c r="S220" s="16">
        <v>0.2</v>
      </c>
      <c r="T220" s="13">
        <v>22.6782</v>
      </c>
      <c r="U220" s="1" t="str">
        <f t="shared" si="10"/>
        <v>Profit</v>
      </c>
      <c r="V220" s="1" t="str">
        <f t="shared" si="11"/>
        <v>Low</v>
      </c>
    </row>
    <row r="221" spans="1:22" x14ac:dyDescent="0.35">
      <c r="A221" s="11">
        <v>220</v>
      </c>
      <c r="B221" s="10">
        <v>41267</v>
      </c>
      <c r="C221" s="11">
        <v>2012</v>
      </c>
      <c r="D221" s="12" t="s">
        <v>70</v>
      </c>
      <c r="E221" s="10">
        <v>41270</v>
      </c>
      <c r="F221" s="11">
        <f t="shared" si="9"/>
        <v>3</v>
      </c>
      <c r="G221" s="11" t="s">
        <v>128</v>
      </c>
      <c r="H221" s="11" t="s">
        <v>461</v>
      </c>
      <c r="I221" s="11" t="s">
        <v>23</v>
      </c>
      <c r="J221" s="11" t="s">
        <v>890</v>
      </c>
      <c r="K221" s="11" t="s">
        <v>462</v>
      </c>
      <c r="L221" s="11" t="s">
        <v>285</v>
      </c>
      <c r="M221" s="11" t="s">
        <v>106</v>
      </c>
      <c r="N221" s="11" t="s">
        <v>38</v>
      </c>
      <c r="O221" s="11" t="s">
        <v>172</v>
      </c>
      <c r="P221" s="11" t="s">
        <v>463</v>
      </c>
      <c r="Q221" s="13">
        <v>5.5839999999999996</v>
      </c>
      <c r="R221" s="11">
        <v>2</v>
      </c>
      <c r="S221" s="16">
        <v>0.2</v>
      </c>
      <c r="T221" s="13">
        <v>1.8148</v>
      </c>
      <c r="U221" s="1" t="str">
        <f t="shared" si="10"/>
        <v>Profit</v>
      </c>
      <c r="V221" s="1" t="str">
        <f t="shared" si="11"/>
        <v>Low</v>
      </c>
    </row>
    <row r="222" spans="1:22" x14ac:dyDescent="0.35">
      <c r="A222" s="11">
        <v>221</v>
      </c>
      <c r="B222" s="10">
        <v>41267</v>
      </c>
      <c r="C222" s="11">
        <v>2012</v>
      </c>
      <c r="D222" s="12" t="s">
        <v>70</v>
      </c>
      <c r="E222" s="10">
        <v>41270</v>
      </c>
      <c r="F222" s="11">
        <f t="shared" si="9"/>
        <v>3</v>
      </c>
      <c r="G222" s="11" t="s">
        <v>128</v>
      </c>
      <c r="H222" s="11" t="s">
        <v>461</v>
      </c>
      <c r="I222" s="11" t="s">
        <v>23</v>
      </c>
      <c r="J222" s="11" t="s">
        <v>890</v>
      </c>
      <c r="K222" s="11" t="s">
        <v>462</v>
      </c>
      <c r="L222" s="11" t="s">
        <v>285</v>
      </c>
      <c r="M222" s="11" t="s">
        <v>106</v>
      </c>
      <c r="N222" s="11" t="s">
        <v>38</v>
      </c>
      <c r="O222" s="11" t="s">
        <v>68</v>
      </c>
      <c r="P222" s="11" t="s">
        <v>464</v>
      </c>
      <c r="Q222" s="13">
        <v>22.704000000000001</v>
      </c>
      <c r="R222" s="11">
        <v>6</v>
      </c>
      <c r="S222" s="16">
        <v>0.2</v>
      </c>
      <c r="T222" s="13">
        <v>8.2302</v>
      </c>
      <c r="U222" s="1" t="str">
        <f t="shared" si="10"/>
        <v>Profit</v>
      </c>
      <c r="V222" s="1" t="str">
        <f t="shared" si="11"/>
        <v>Low</v>
      </c>
    </row>
    <row r="223" spans="1:22" x14ac:dyDescent="0.35">
      <c r="A223" s="11">
        <v>222</v>
      </c>
      <c r="B223" s="10">
        <v>41267</v>
      </c>
      <c r="C223" s="11">
        <v>2012</v>
      </c>
      <c r="D223" s="12" t="s">
        <v>70</v>
      </c>
      <c r="E223" s="10">
        <v>41270</v>
      </c>
      <c r="F223" s="11">
        <f t="shared" si="9"/>
        <v>3</v>
      </c>
      <c r="G223" s="11" t="s">
        <v>128</v>
      </c>
      <c r="H223" s="11" t="s">
        <v>461</v>
      </c>
      <c r="I223" s="11" t="s">
        <v>23</v>
      </c>
      <c r="J223" s="11" t="s">
        <v>890</v>
      </c>
      <c r="K223" s="11" t="s">
        <v>462</v>
      </c>
      <c r="L223" s="11" t="s">
        <v>285</v>
      </c>
      <c r="M223" s="11" t="s">
        <v>106</v>
      </c>
      <c r="N223" s="11" t="s">
        <v>38</v>
      </c>
      <c r="O223" s="11" t="s">
        <v>58</v>
      </c>
      <c r="P223" s="11" t="s">
        <v>244</v>
      </c>
      <c r="Q223" s="13">
        <v>19.776</v>
      </c>
      <c r="R223" s="11">
        <v>4</v>
      </c>
      <c r="S223" s="16">
        <v>0.7</v>
      </c>
      <c r="T223" s="13">
        <v>-13.8432</v>
      </c>
      <c r="U223" s="1" t="str">
        <f t="shared" si="10"/>
        <v>Loss</v>
      </c>
      <c r="V223" s="1" t="str">
        <f t="shared" si="11"/>
        <v>Low</v>
      </c>
    </row>
    <row r="224" spans="1:22" x14ac:dyDescent="0.35">
      <c r="A224" s="11">
        <v>223</v>
      </c>
      <c r="B224" s="10">
        <v>41267</v>
      </c>
      <c r="C224" s="11">
        <v>2012</v>
      </c>
      <c r="D224" s="12" t="s">
        <v>70</v>
      </c>
      <c r="E224" s="10">
        <v>41270</v>
      </c>
      <c r="F224" s="11">
        <f t="shared" si="9"/>
        <v>3</v>
      </c>
      <c r="G224" s="11" t="s">
        <v>128</v>
      </c>
      <c r="H224" s="11" t="s">
        <v>461</v>
      </c>
      <c r="I224" s="11" t="s">
        <v>23</v>
      </c>
      <c r="J224" s="11" t="s">
        <v>890</v>
      </c>
      <c r="K224" s="11" t="s">
        <v>462</v>
      </c>
      <c r="L224" s="11" t="s">
        <v>285</v>
      </c>
      <c r="M224" s="11" t="s">
        <v>106</v>
      </c>
      <c r="N224" s="11" t="s">
        <v>27</v>
      </c>
      <c r="O224" s="11" t="s">
        <v>51</v>
      </c>
      <c r="P224" s="11" t="s">
        <v>465</v>
      </c>
      <c r="Q224" s="13">
        <v>72.703999999999994</v>
      </c>
      <c r="R224" s="11">
        <v>4</v>
      </c>
      <c r="S224" s="16">
        <v>0.2</v>
      </c>
      <c r="T224" s="13">
        <v>19.084800000000001</v>
      </c>
      <c r="U224" s="1" t="str">
        <f t="shared" si="10"/>
        <v>Profit</v>
      </c>
      <c r="V224" s="1" t="str">
        <f t="shared" si="11"/>
        <v>Low</v>
      </c>
    </row>
    <row r="225" spans="1:22" x14ac:dyDescent="0.35">
      <c r="A225" s="11">
        <v>224</v>
      </c>
      <c r="B225" s="10">
        <v>41267</v>
      </c>
      <c r="C225" s="11">
        <v>2012</v>
      </c>
      <c r="D225" s="12" t="s">
        <v>70</v>
      </c>
      <c r="E225" s="10">
        <v>41270</v>
      </c>
      <c r="F225" s="11">
        <f t="shared" si="9"/>
        <v>3</v>
      </c>
      <c r="G225" s="11" t="s">
        <v>128</v>
      </c>
      <c r="H225" s="11" t="s">
        <v>461</v>
      </c>
      <c r="I225" s="11" t="s">
        <v>23</v>
      </c>
      <c r="J225" s="11" t="s">
        <v>890</v>
      </c>
      <c r="K225" s="11" t="s">
        <v>462</v>
      </c>
      <c r="L225" s="11" t="s">
        <v>285</v>
      </c>
      <c r="M225" s="11" t="s">
        <v>106</v>
      </c>
      <c r="N225" s="11" t="s">
        <v>55</v>
      </c>
      <c r="O225" s="11" t="s">
        <v>374</v>
      </c>
      <c r="P225" s="11" t="s">
        <v>466</v>
      </c>
      <c r="Q225" s="13">
        <v>479.988</v>
      </c>
      <c r="R225" s="11">
        <v>4</v>
      </c>
      <c r="S225" s="16">
        <v>0.7</v>
      </c>
      <c r="T225" s="13">
        <v>-383.99040000000002</v>
      </c>
      <c r="U225" s="1" t="str">
        <f t="shared" si="10"/>
        <v>Loss</v>
      </c>
      <c r="V225" s="1" t="str">
        <f t="shared" si="11"/>
        <v>Low</v>
      </c>
    </row>
    <row r="226" spans="1:22" x14ac:dyDescent="0.35">
      <c r="A226" s="11">
        <v>225</v>
      </c>
      <c r="B226" s="10">
        <v>41267</v>
      </c>
      <c r="C226" s="11">
        <v>2012</v>
      </c>
      <c r="D226" s="12" t="s">
        <v>70</v>
      </c>
      <c r="E226" s="10">
        <v>41270</v>
      </c>
      <c r="F226" s="11">
        <f t="shared" si="9"/>
        <v>3</v>
      </c>
      <c r="G226" s="11" t="s">
        <v>128</v>
      </c>
      <c r="H226" s="11" t="s">
        <v>461</v>
      </c>
      <c r="I226" s="11" t="s">
        <v>23</v>
      </c>
      <c r="J226" s="11" t="s">
        <v>890</v>
      </c>
      <c r="K226" s="11" t="s">
        <v>462</v>
      </c>
      <c r="L226" s="11" t="s">
        <v>285</v>
      </c>
      <c r="M226" s="11" t="s">
        <v>106</v>
      </c>
      <c r="N226" s="11" t="s">
        <v>38</v>
      </c>
      <c r="O226" s="11" t="s">
        <v>53</v>
      </c>
      <c r="P226" s="11" t="s">
        <v>467</v>
      </c>
      <c r="Q226" s="13">
        <v>27.167999999999999</v>
      </c>
      <c r="R226" s="11">
        <v>2</v>
      </c>
      <c r="S226" s="16">
        <v>0.2</v>
      </c>
      <c r="T226" s="13">
        <v>2.7168000000000001</v>
      </c>
      <c r="U226" s="1" t="str">
        <f t="shared" si="10"/>
        <v>Profit</v>
      </c>
      <c r="V226" s="1" t="str">
        <f t="shared" si="11"/>
        <v>Low</v>
      </c>
    </row>
    <row r="227" spans="1:22" x14ac:dyDescent="0.35">
      <c r="A227" s="11">
        <v>226</v>
      </c>
      <c r="B227" s="10">
        <v>41130</v>
      </c>
      <c r="C227" s="11">
        <v>2012</v>
      </c>
      <c r="D227" s="12" t="s">
        <v>91</v>
      </c>
      <c r="E227" s="10">
        <v>41137</v>
      </c>
      <c r="F227" s="11">
        <f t="shared" si="9"/>
        <v>7</v>
      </c>
      <c r="G227" s="11" t="s">
        <v>42</v>
      </c>
      <c r="H227" s="11" t="s">
        <v>468</v>
      </c>
      <c r="I227" s="11" t="s">
        <v>34</v>
      </c>
      <c r="J227" s="11" t="s">
        <v>890</v>
      </c>
      <c r="K227" s="11" t="s">
        <v>469</v>
      </c>
      <c r="L227" s="11" t="s">
        <v>155</v>
      </c>
      <c r="M227" s="11" t="s">
        <v>79</v>
      </c>
      <c r="N227" s="11" t="s">
        <v>38</v>
      </c>
      <c r="O227" s="11" t="s">
        <v>53</v>
      </c>
      <c r="P227" s="11" t="s">
        <v>470</v>
      </c>
      <c r="Q227" s="13">
        <v>2.2000000000000002</v>
      </c>
      <c r="R227" s="11">
        <v>1</v>
      </c>
      <c r="S227" s="16">
        <v>0</v>
      </c>
      <c r="T227" s="13">
        <v>0.96799999999999997</v>
      </c>
      <c r="U227" s="1" t="str">
        <f t="shared" si="10"/>
        <v>Profit</v>
      </c>
      <c r="V227" s="1" t="str">
        <f t="shared" si="11"/>
        <v>Low</v>
      </c>
    </row>
    <row r="228" spans="1:22" x14ac:dyDescent="0.35">
      <c r="A228" s="11">
        <v>227</v>
      </c>
      <c r="B228" s="10">
        <v>41130</v>
      </c>
      <c r="C228" s="11">
        <v>2012</v>
      </c>
      <c r="D228" s="12" t="s">
        <v>91</v>
      </c>
      <c r="E228" s="10">
        <v>41137</v>
      </c>
      <c r="F228" s="11">
        <f t="shared" si="9"/>
        <v>7</v>
      </c>
      <c r="G228" s="11" t="s">
        <v>42</v>
      </c>
      <c r="H228" s="11" t="s">
        <v>468</v>
      </c>
      <c r="I228" s="11" t="s">
        <v>34</v>
      </c>
      <c r="J228" s="11" t="s">
        <v>890</v>
      </c>
      <c r="K228" s="11" t="s">
        <v>469</v>
      </c>
      <c r="L228" s="11" t="s">
        <v>155</v>
      </c>
      <c r="M228" s="11" t="s">
        <v>79</v>
      </c>
      <c r="N228" s="11" t="s">
        <v>27</v>
      </c>
      <c r="O228" s="11" t="s">
        <v>46</v>
      </c>
      <c r="P228" s="11" t="s">
        <v>471</v>
      </c>
      <c r="Q228" s="13">
        <v>622.45000000000005</v>
      </c>
      <c r="R228" s="11">
        <v>5</v>
      </c>
      <c r="S228" s="16">
        <v>0</v>
      </c>
      <c r="T228" s="13">
        <v>136.93899999999999</v>
      </c>
      <c r="U228" s="1" t="str">
        <f t="shared" si="10"/>
        <v>Profit</v>
      </c>
      <c r="V228" s="1" t="str">
        <f t="shared" si="11"/>
        <v>Medium</v>
      </c>
    </row>
    <row r="229" spans="1:22" x14ac:dyDescent="0.35">
      <c r="A229" s="11">
        <v>228</v>
      </c>
      <c r="B229" s="10">
        <v>41130</v>
      </c>
      <c r="C229" s="11">
        <v>2012</v>
      </c>
      <c r="D229" s="12" t="s">
        <v>91</v>
      </c>
      <c r="E229" s="10">
        <v>41137</v>
      </c>
      <c r="F229" s="11">
        <f t="shared" si="9"/>
        <v>7</v>
      </c>
      <c r="G229" s="11" t="s">
        <v>42</v>
      </c>
      <c r="H229" s="11" t="s">
        <v>468</v>
      </c>
      <c r="I229" s="11" t="s">
        <v>34</v>
      </c>
      <c r="J229" s="11" t="s">
        <v>890</v>
      </c>
      <c r="K229" s="11" t="s">
        <v>469</v>
      </c>
      <c r="L229" s="11" t="s">
        <v>155</v>
      </c>
      <c r="M229" s="11" t="s">
        <v>79</v>
      </c>
      <c r="N229" s="11" t="s">
        <v>38</v>
      </c>
      <c r="O229" s="11" t="s">
        <v>48</v>
      </c>
      <c r="P229" s="11" t="s">
        <v>472</v>
      </c>
      <c r="Q229" s="13">
        <v>21.98</v>
      </c>
      <c r="R229" s="11">
        <v>1</v>
      </c>
      <c r="S229" s="16">
        <v>0</v>
      </c>
      <c r="T229" s="13">
        <v>0.2198</v>
      </c>
      <c r="U229" s="1" t="str">
        <f t="shared" si="10"/>
        <v>Profit</v>
      </c>
      <c r="V229" s="1" t="str">
        <f t="shared" si="11"/>
        <v>Low</v>
      </c>
    </row>
    <row r="230" spans="1:22" x14ac:dyDescent="0.35">
      <c r="A230" s="11">
        <v>229</v>
      </c>
      <c r="B230" s="10">
        <v>40967</v>
      </c>
      <c r="C230" s="11">
        <v>2012</v>
      </c>
      <c r="D230" s="12" t="s">
        <v>313</v>
      </c>
      <c r="E230" s="10">
        <v>40972</v>
      </c>
      <c r="F230" s="11">
        <f t="shared" si="9"/>
        <v>5</v>
      </c>
      <c r="G230" s="11" t="s">
        <v>42</v>
      </c>
      <c r="H230" s="11" t="s">
        <v>473</v>
      </c>
      <c r="I230" s="11" t="s">
        <v>23</v>
      </c>
      <c r="J230" s="11" t="s">
        <v>890</v>
      </c>
      <c r="K230" s="11" t="s">
        <v>228</v>
      </c>
      <c r="L230" s="11" t="s">
        <v>206</v>
      </c>
      <c r="M230" s="11" t="s">
        <v>26</v>
      </c>
      <c r="N230" s="11" t="s">
        <v>27</v>
      </c>
      <c r="O230" s="11" t="s">
        <v>30</v>
      </c>
      <c r="P230" s="11" t="s">
        <v>474</v>
      </c>
      <c r="Q230" s="13">
        <v>161.56800000000001</v>
      </c>
      <c r="R230" s="11">
        <v>2</v>
      </c>
      <c r="S230" s="16">
        <v>0.2</v>
      </c>
      <c r="T230" s="13">
        <v>-28.2744</v>
      </c>
      <c r="U230" s="1" t="str">
        <f t="shared" si="10"/>
        <v>Loss</v>
      </c>
      <c r="V230" s="1" t="str">
        <f t="shared" si="11"/>
        <v>Low</v>
      </c>
    </row>
    <row r="231" spans="1:22" x14ac:dyDescent="0.35">
      <c r="A231" s="11">
        <v>230</v>
      </c>
      <c r="B231" s="10">
        <v>40967</v>
      </c>
      <c r="C231" s="11">
        <v>2012</v>
      </c>
      <c r="D231" s="12" t="s">
        <v>313</v>
      </c>
      <c r="E231" s="10">
        <v>40972</v>
      </c>
      <c r="F231" s="11">
        <f t="shared" si="9"/>
        <v>5</v>
      </c>
      <c r="G231" s="11" t="s">
        <v>42</v>
      </c>
      <c r="H231" s="11" t="s">
        <v>473</v>
      </c>
      <c r="I231" s="11" t="s">
        <v>23</v>
      </c>
      <c r="J231" s="11" t="s">
        <v>890</v>
      </c>
      <c r="K231" s="11" t="s">
        <v>228</v>
      </c>
      <c r="L231" s="11" t="s">
        <v>206</v>
      </c>
      <c r="M231" s="11" t="s">
        <v>26</v>
      </c>
      <c r="N231" s="11" t="s">
        <v>27</v>
      </c>
      <c r="O231" s="11" t="s">
        <v>30</v>
      </c>
      <c r="P231" s="11" t="s">
        <v>475</v>
      </c>
      <c r="Q231" s="13">
        <v>389.69600000000003</v>
      </c>
      <c r="R231" s="11">
        <v>8</v>
      </c>
      <c r="S231" s="16">
        <v>0.2</v>
      </c>
      <c r="T231" s="13">
        <v>43.840800000000002</v>
      </c>
      <c r="U231" s="1" t="str">
        <f t="shared" si="10"/>
        <v>Profit</v>
      </c>
      <c r="V231" s="1" t="str">
        <f t="shared" si="11"/>
        <v>Low</v>
      </c>
    </row>
    <row r="232" spans="1:22" x14ac:dyDescent="0.35">
      <c r="A232" s="11">
        <v>231</v>
      </c>
      <c r="B232" s="10">
        <v>40799</v>
      </c>
      <c r="C232" s="11">
        <v>2011</v>
      </c>
      <c r="D232" s="12" t="s">
        <v>108</v>
      </c>
      <c r="E232" s="10">
        <v>40803</v>
      </c>
      <c r="F232" s="11">
        <f t="shared" si="9"/>
        <v>4</v>
      </c>
      <c r="G232" s="11" t="s">
        <v>42</v>
      </c>
      <c r="H232" s="11" t="s">
        <v>476</v>
      </c>
      <c r="I232" s="11" t="s">
        <v>34</v>
      </c>
      <c r="J232" s="11" t="s">
        <v>890</v>
      </c>
      <c r="K232" s="11" t="s">
        <v>269</v>
      </c>
      <c r="L232" s="11" t="s">
        <v>67</v>
      </c>
      <c r="M232" s="11" t="s">
        <v>26</v>
      </c>
      <c r="N232" s="11" t="s">
        <v>38</v>
      </c>
      <c r="O232" s="11" t="s">
        <v>58</v>
      </c>
      <c r="P232" s="11" t="s">
        <v>477</v>
      </c>
      <c r="Q232" s="13">
        <v>18.648</v>
      </c>
      <c r="R232" s="11">
        <v>7</v>
      </c>
      <c r="S232" s="16">
        <v>0.7</v>
      </c>
      <c r="T232" s="13">
        <v>-12.432</v>
      </c>
      <c r="U232" s="1" t="str">
        <f t="shared" si="10"/>
        <v>Loss</v>
      </c>
      <c r="V232" s="1" t="str">
        <f t="shared" si="11"/>
        <v>Low</v>
      </c>
    </row>
    <row r="233" spans="1:22" x14ac:dyDescent="0.35">
      <c r="A233" s="11">
        <v>232</v>
      </c>
      <c r="B233" s="10">
        <v>41737</v>
      </c>
      <c r="C233" s="11">
        <v>2014</v>
      </c>
      <c r="D233" s="12" t="s">
        <v>64</v>
      </c>
      <c r="E233" s="10">
        <v>41742</v>
      </c>
      <c r="F233" s="11">
        <f t="shared" si="9"/>
        <v>5</v>
      </c>
      <c r="G233" s="11" t="s">
        <v>42</v>
      </c>
      <c r="H233" s="11" t="s">
        <v>226</v>
      </c>
      <c r="I233" s="11" t="s">
        <v>76</v>
      </c>
      <c r="J233" s="11" t="s">
        <v>890</v>
      </c>
      <c r="K233" s="11" t="s">
        <v>478</v>
      </c>
      <c r="L233" s="11" t="s">
        <v>45</v>
      </c>
      <c r="M233" s="11" t="s">
        <v>26</v>
      </c>
      <c r="N233" s="11" t="s">
        <v>27</v>
      </c>
      <c r="O233" s="11" t="s">
        <v>46</v>
      </c>
      <c r="P233" s="11" t="s">
        <v>479</v>
      </c>
      <c r="Q233" s="13">
        <v>233.86</v>
      </c>
      <c r="R233" s="11">
        <v>2</v>
      </c>
      <c r="S233" s="16">
        <v>0.45</v>
      </c>
      <c r="T233" s="13">
        <v>-102.048</v>
      </c>
      <c r="U233" s="1" t="str">
        <f t="shared" si="10"/>
        <v>Loss</v>
      </c>
      <c r="V233" s="1" t="str">
        <f t="shared" si="11"/>
        <v>Low</v>
      </c>
    </row>
    <row r="234" spans="1:22" x14ac:dyDescent="0.35">
      <c r="A234" s="11">
        <v>233</v>
      </c>
      <c r="B234" s="10">
        <v>41737</v>
      </c>
      <c r="C234" s="11">
        <v>2014</v>
      </c>
      <c r="D234" s="12" t="s">
        <v>64</v>
      </c>
      <c r="E234" s="10">
        <v>41742</v>
      </c>
      <c r="F234" s="11">
        <f t="shared" si="9"/>
        <v>5</v>
      </c>
      <c r="G234" s="11" t="s">
        <v>42</v>
      </c>
      <c r="H234" s="11" t="s">
        <v>226</v>
      </c>
      <c r="I234" s="11" t="s">
        <v>76</v>
      </c>
      <c r="J234" s="11" t="s">
        <v>890</v>
      </c>
      <c r="K234" s="11" t="s">
        <v>478</v>
      </c>
      <c r="L234" s="11" t="s">
        <v>45</v>
      </c>
      <c r="M234" s="11" t="s">
        <v>26</v>
      </c>
      <c r="N234" s="11" t="s">
        <v>27</v>
      </c>
      <c r="O234" s="11" t="s">
        <v>46</v>
      </c>
      <c r="P234" s="11" t="s">
        <v>480</v>
      </c>
      <c r="Q234" s="13">
        <v>620.61450000000002</v>
      </c>
      <c r="R234" s="11">
        <v>3</v>
      </c>
      <c r="S234" s="16">
        <v>0.45</v>
      </c>
      <c r="T234" s="13">
        <v>-248.2458</v>
      </c>
      <c r="U234" s="1" t="str">
        <f t="shared" si="10"/>
        <v>Loss</v>
      </c>
      <c r="V234" s="1" t="str">
        <f t="shared" si="11"/>
        <v>Medium</v>
      </c>
    </row>
    <row r="235" spans="1:22" x14ac:dyDescent="0.35">
      <c r="A235" s="11">
        <v>234</v>
      </c>
      <c r="B235" s="10">
        <v>41737</v>
      </c>
      <c r="C235" s="11">
        <v>2014</v>
      </c>
      <c r="D235" s="12" t="s">
        <v>64</v>
      </c>
      <c r="E235" s="10">
        <v>41742</v>
      </c>
      <c r="F235" s="11">
        <f t="shared" si="9"/>
        <v>5</v>
      </c>
      <c r="G235" s="11" t="s">
        <v>42</v>
      </c>
      <c r="H235" s="11" t="s">
        <v>226</v>
      </c>
      <c r="I235" s="11" t="s">
        <v>76</v>
      </c>
      <c r="J235" s="11" t="s">
        <v>890</v>
      </c>
      <c r="K235" s="11" t="s">
        <v>478</v>
      </c>
      <c r="L235" s="11" t="s">
        <v>45</v>
      </c>
      <c r="M235" s="11" t="s">
        <v>26</v>
      </c>
      <c r="N235" s="11" t="s">
        <v>38</v>
      </c>
      <c r="O235" s="11" t="s">
        <v>58</v>
      </c>
      <c r="P235" s="11" t="s">
        <v>477</v>
      </c>
      <c r="Q235" s="13">
        <v>5.3280000000000003</v>
      </c>
      <c r="R235" s="11">
        <v>2</v>
      </c>
      <c r="S235" s="16">
        <v>0.7</v>
      </c>
      <c r="T235" s="13">
        <v>-3.552</v>
      </c>
      <c r="U235" s="1" t="str">
        <f t="shared" si="10"/>
        <v>Loss</v>
      </c>
      <c r="V235" s="1" t="str">
        <f t="shared" si="11"/>
        <v>Low</v>
      </c>
    </row>
    <row r="236" spans="1:22" x14ac:dyDescent="0.35">
      <c r="A236" s="11">
        <v>235</v>
      </c>
      <c r="B236" s="10">
        <v>41737</v>
      </c>
      <c r="C236" s="11">
        <v>2014</v>
      </c>
      <c r="D236" s="12" t="s">
        <v>64</v>
      </c>
      <c r="E236" s="10">
        <v>41742</v>
      </c>
      <c r="F236" s="11">
        <f t="shared" si="9"/>
        <v>5</v>
      </c>
      <c r="G236" s="11" t="s">
        <v>42</v>
      </c>
      <c r="H236" s="11" t="s">
        <v>226</v>
      </c>
      <c r="I236" s="11" t="s">
        <v>76</v>
      </c>
      <c r="J236" s="11" t="s">
        <v>890</v>
      </c>
      <c r="K236" s="11" t="s">
        <v>478</v>
      </c>
      <c r="L236" s="11" t="s">
        <v>45</v>
      </c>
      <c r="M236" s="11" t="s">
        <v>26</v>
      </c>
      <c r="N236" s="11" t="s">
        <v>27</v>
      </c>
      <c r="O236" s="11" t="s">
        <v>51</v>
      </c>
      <c r="P236" s="11" t="s">
        <v>481</v>
      </c>
      <c r="Q236" s="13">
        <v>258.072</v>
      </c>
      <c r="R236" s="11">
        <v>3</v>
      </c>
      <c r="S236" s="16">
        <v>0.2</v>
      </c>
      <c r="T236" s="13">
        <v>0</v>
      </c>
      <c r="U236" s="1" t="str">
        <f t="shared" si="10"/>
        <v>Loss</v>
      </c>
      <c r="V236" s="1" t="str">
        <f t="shared" si="11"/>
        <v>Low</v>
      </c>
    </row>
    <row r="237" spans="1:22" x14ac:dyDescent="0.35">
      <c r="A237" s="11">
        <v>236</v>
      </c>
      <c r="B237" s="10">
        <v>41737</v>
      </c>
      <c r="C237" s="11">
        <v>2014</v>
      </c>
      <c r="D237" s="12" t="s">
        <v>64</v>
      </c>
      <c r="E237" s="10">
        <v>41742</v>
      </c>
      <c r="F237" s="11">
        <f t="shared" si="9"/>
        <v>5</v>
      </c>
      <c r="G237" s="11" t="s">
        <v>42</v>
      </c>
      <c r="H237" s="11" t="s">
        <v>226</v>
      </c>
      <c r="I237" s="11" t="s">
        <v>76</v>
      </c>
      <c r="J237" s="11" t="s">
        <v>890</v>
      </c>
      <c r="K237" s="11" t="s">
        <v>478</v>
      </c>
      <c r="L237" s="11" t="s">
        <v>45</v>
      </c>
      <c r="M237" s="11" t="s">
        <v>26</v>
      </c>
      <c r="N237" s="11" t="s">
        <v>55</v>
      </c>
      <c r="O237" s="11" t="s">
        <v>114</v>
      </c>
      <c r="P237" s="11" t="s">
        <v>482</v>
      </c>
      <c r="Q237" s="13">
        <v>617.976</v>
      </c>
      <c r="R237" s="11">
        <v>3</v>
      </c>
      <c r="S237" s="16">
        <v>0.2</v>
      </c>
      <c r="T237" s="13">
        <v>-7.7247000000000003</v>
      </c>
      <c r="U237" s="1" t="str">
        <f t="shared" si="10"/>
        <v>Loss</v>
      </c>
      <c r="V237" s="1" t="str">
        <f t="shared" si="11"/>
        <v>Medium</v>
      </c>
    </row>
    <row r="238" spans="1:22" x14ac:dyDescent="0.35">
      <c r="A238" s="11">
        <v>237</v>
      </c>
      <c r="B238" s="10">
        <v>41956</v>
      </c>
      <c r="C238" s="11">
        <v>2014</v>
      </c>
      <c r="D238" s="12" t="s">
        <v>20</v>
      </c>
      <c r="E238" s="10">
        <v>41960</v>
      </c>
      <c r="F238" s="11">
        <f t="shared" si="9"/>
        <v>4</v>
      </c>
      <c r="G238" s="11" t="s">
        <v>42</v>
      </c>
      <c r="H238" s="11" t="s">
        <v>483</v>
      </c>
      <c r="I238" s="11" t="s">
        <v>34</v>
      </c>
      <c r="J238" s="11" t="s">
        <v>890</v>
      </c>
      <c r="K238" s="11" t="s">
        <v>484</v>
      </c>
      <c r="L238" s="11" t="s">
        <v>36</v>
      </c>
      <c r="M238" s="11" t="s">
        <v>37</v>
      </c>
      <c r="N238" s="11" t="s">
        <v>38</v>
      </c>
      <c r="O238" s="11" t="s">
        <v>68</v>
      </c>
      <c r="P238" s="11" t="s">
        <v>485</v>
      </c>
      <c r="Q238" s="13">
        <v>10.56</v>
      </c>
      <c r="R238" s="11">
        <v>2</v>
      </c>
      <c r="S238" s="16">
        <v>0</v>
      </c>
      <c r="T238" s="13">
        <v>4.7519999999999998</v>
      </c>
      <c r="U238" s="1" t="str">
        <f t="shared" si="10"/>
        <v>Profit</v>
      </c>
      <c r="V238" s="1" t="str">
        <f t="shared" si="11"/>
        <v>Low</v>
      </c>
    </row>
    <row r="239" spans="1:22" x14ac:dyDescent="0.35">
      <c r="A239" s="11">
        <v>238</v>
      </c>
      <c r="B239" s="10">
        <v>41430</v>
      </c>
      <c r="C239" s="11">
        <v>2013</v>
      </c>
      <c r="D239" s="12" t="s">
        <v>32</v>
      </c>
      <c r="E239" s="10">
        <v>41435</v>
      </c>
      <c r="F239" s="11">
        <f t="shared" si="9"/>
        <v>5</v>
      </c>
      <c r="G239" s="11" t="s">
        <v>21</v>
      </c>
      <c r="H239" s="11" t="s">
        <v>486</v>
      </c>
      <c r="I239" s="11" t="s">
        <v>23</v>
      </c>
      <c r="J239" s="11" t="s">
        <v>890</v>
      </c>
      <c r="K239" s="11" t="s">
        <v>189</v>
      </c>
      <c r="L239" s="11" t="s">
        <v>140</v>
      </c>
      <c r="M239" s="11" t="s">
        <v>79</v>
      </c>
      <c r="N239" s="11" t="s">
        <v>38</v>
      </c>
      <c r="O239" s="11" t="s">
        <v>68</v>
      </c>
      <c r="P239" s="11" t="s">
        <v>487</v>
      </c>
      <c r="Q239" s="13">
        <v>25.92</v>
      </c>
      <c r="R239" s="11">
        <v>5</v>
      </c>
      <c r="S239" s="16">
        <v>0.2</v>
      </c>
      <c r="T239" s="13">
        <v>9.3960000000000008</v>
      </c>
      <c r="U239" s="1" t="str">
        <f t="shared" si="10"/>
        <v>Profit</v>
      </c>
      <c r="V239" s="1" t="str">
        <f t="shared" si="11"/>
        <v>Low</v>
      </c>
    </row>
    <row r="240" spans="1:22" x14ac:dyDescent="0.35">
      <c r="A240" s="11">
        <v>239</v>
      </c>
      <c r="B240" s="10">
        <v>41430</v>
      </c>
      <c r="C240" s="11">
        <v>2013</v>
      </c>
      <c r="D240" s="12" t="s">
        <v>32</v>
      </c>
      <c r="E240" s="10">
        <v>41435</v>
      </c>
      <c r="F240" s="11">
        <f t="shared" si="9"/>
        <v>5</v>
      </c>
      <c r="G240" s="11" t="s">
        <v>21</v>
      </c>
      <c r="H240" s="11" t="s">
        <v>486</v>
      </c>
      <c r="I240" s="11" t="s">
        <v>23</v>
      </c>
      <c r="J240" s="11" t="s">
        <v>890</v>
      </c>
      <c r="K240" s="11" t="s">
        <v>189</v>
      </c>
      <c r="L240" s="11" t="s">
        <v>140</v>
      </c>
      <c r="M240" s="11" t="s">
        <v>79</v>
      </c>
      <c r="N240" s="11" t="s">
        <v>27</v>
      </c>
      <c r="O240" s="11" t="s">
        <v>51</v>
      </c>
      <c r="P240" s="11" t="s">
        <v>488</v>
      </c>
      <c r="Q240" s="13">
        <v>419.68</v>
      </c>
      <c r="R240" s="11">
        <v>5</v>
      </c>
      <c r="S240" s="16">
        <v>0.6</v>
      </c>
      <c r="T240" s="13">
        <v>-356.72800000000001</v>
      </c>
      <c r="U240" s="1" t="str">
        <f t="shared" si="10"/>
        <v>Loss</v>
      </c>
      <c r="V240" s="1" t="str">
        <f t="shared" si="11"/>
        <v>Low</v>
      </c>
    </row>
    <row r="241" spans="1:22" x14ac:dyDescent="0.35">
      <c r="A241" s="11">
        <v>240</v>
      </c>
      <c r="B241" s="10">
        <v>41430</v>
      </c>
      <c r="C241" s="11">
        <v>2013</v>
      </c>
      <c r="D241" s="12" t="s">
        <v>32</v>
      </c>
      <c r="E241" s="10">
        <v>41435</v>
      </c>
      <c r="F241" s="11">
        <f t="shared" si="9"/>
        <v>5</v>
      </c>
      <c r="G241" s="11" t="s">
        <v>21</v>
      </c>
      <c r="H241" s="11" t="s">
        <v>486</v>
      </c>
      <c r="I241" s="11" t="s">
        <v>23</v>
      </c>
      <c r="J241" s="11" t="s">
        <v>890</v>
      </c>
      <c r="K241" s="11" t="s">
        <v>189</v>
      </c>
      <c r="L241" s="11" t="s">
        <v>140</v>
      </c>
      <c r="M241" s="11" t="s">
        <v>79</v>
      </c>
      <c r="N241" s="11" t="s">
        <v>27</v>
      </c>
      <c r="O241" s="11" t="s">
        <v>51</v>
      </c>
      <c r="P241" s="11" t="s">
        <v>127</v>
      </c>
      <c r="Q241" s="13">
        <v>11.688000000000001</v>
      </c>
      <c r="R241" s="11">
        <v>3</v>
      </c>
      <c r="S241" s="16">
        <v>0.6</v>
      </c>
      <c r="T241" s="13">
        <v>-4.6752000000000002</v>
      </c>
      <c r="U241" s="1" t="str">
        <f t="shared" si="10"/>
        <v>Loss</v>
      </c>
      <c r="V241" s="1" t="str">
        <f t="shared" si="11"/>
        <v>Low</v>
      </c>
    </row>
    <row r="242" spans="1:22" x14ac:dyDescent="0.35">
      <c r="A242" s="11">
        <v>241</v>
      </c>
      <c r="B242" s="10">
        <v>41430</v>
      </c>
      <c r="C242" s="11">
        <v>2013</v>
      </c>
      <c r="D242" s="12" t="s">
        <v>32</v>
      </c>
      <c r="E242" s="10">
        <v>41435</v>
      </c>
      <c r="F242" s="11">
        <f t="shared" si="9"/>
        <v>5</v>
      </c>
      <c r="G242" s="11" t="s">
        <v>21</v>
      </c>
      <c r="H242" s="11" t="s">
        <v>486</v>
      </c>
      <c r="I242" s="11" t="s">
        <v>23</v>
      </c>
      <c r="J242" s="11" t="s">
        <v>890</v>
      </c>
      <c r="K242" s="11" t="s">
        <v>189</v>
      </c>
      <c r="L242" s="11" t="s">
        <v>140</v>
      </c>
      <c r="M242" s="11" t="s">
        <v>79</v>
      </c>
      <c r="N242" s="11" t="s">
        <v>55</v>
      </c>
      <c r="O242" s="11" t="s">
        <v>56</v>
      </c>
      <c r="P242" s="11" t="s">
        <v>489</v>
      </c>
      <c r="Q242" s="13">
        <v>31.984000000000002</v>
      </c>
      <c r="R242" s="11">
        <v>2</v>
      </c>
      <c r="S242" s="16">
        <v>0.2</v>
      </c>
      <c r="T242" s="13">
        <v>11.1944</v>
      </c>
      <c r="U242" s="1" t="str">
        <f t="shared" si="10"/>
        <v>Profit</v>
      </c>
      <c r="V242" s="1" t="str">
        <f t="shared" si="11"/>
        <v>Low</v>
      </c>
    </row>
    <row r="243" spans="1:22" x14ac:dyDescent="0.35">
      <c r="A243" s="11">
        <v>242</v>
      </c>
      <c r="B243" s="10">
        <v>41430</v>
      </c>
      <c r="C243" s="11">
        <v>2013</v>
      </c>
      <c r="D243" s="12" t="s">
        <v>32</v>
      </c>
      <c r="E243" s="10">
        <v>41435</v>
      </c>
      <c r="F243" s="11">
        <f t="shared" si="9"/>
        <v>5</v>
      </c>
      <c r="G243" s="11" t="s">
        <v>21</v>
      </c>
      <c r="H243" s="11" t="s">
        <v>486</v>
      </c>
      <c r="I243" s="11" t="s">
        <v>23</v>
      </c>
      <c r="J243" s="11" t="s">
        <v>890</v>
      </c>
      <c r="K243" s="11" t="s">
        <v>189</v>
      </c>
      <c r="L243" s="11" t="s">
        <v>140</v>
      </c>
      <c r="M243" s="11" t="s">
        <v>79</v>
      </c>
      <c r="N243" s="11" t="s">
        <v>27</v>
      </c>
      <c r="O243" s="11" t="s">
        <v>46</v>
      </c>
      <c r="P243" s="11" t="s">
        <v>490</v>
      </c>
      <c r="Q243" s="13">
        <v>177.22499999999999</v>
      </c>
      <c r="R243" s="11">
        <v>5</v>
      </c>
      <c r="S243" s="16">
        <v>0.5</v>
      </c>
      <c r="T243" s="13">
        <v>-120.51300000000001</v>
      </c>
      <c r="U243" s="1" t="str">
        <f t="shared" si="10"/>
        <v>Loss</v>
      </c>
      <c r="V243" s="1" t="str">
        <f t="shared" si="11"/>
        <v>Low</v>
      </c>
    </row>
    <row r="244" spans="1:22" x14ac:dyDescent="0.35">
      <c r="A244" s="11">
        <v>243</v>
      </c>
      <c r="B244" s="10">
        <v>41430</v>
      </c>
      <c r="C244" s="11">
        <v>2013</v>
      </c>
      <c r="D244" s="12" t="s">
        <v>32</v>
      </c>
      <c r="E244" s="10">
        <v>41435</v>
      </c>
      <c r="F244" s="11">
        <f t="shared" si="9"/>
        <v>5</v>
      </c>
      <c r="G244" s="11" t="s">
        <v>21</v>
      </c>
      <c r="H244" s="11" t="s">
        <v>486</v>
      </c>
      <c r="I244" s="11" t="s">
        <v>23</v>
      </c>
      <c r="J244" s="11" t="s">
        <v>890</v>
      </c>
      <c r="K244" s="11" t="s">
        <v>189</v>
      </c>
      <c r="L244" s="11" t="s">
        <v>140</v>
      </c>
      <c r="M244" s="11" t="s">
        <v>79</v>
      </c>
      <c r="N244" s="11" t="s">
        <v>27</v>
      </c>
      <c r="O244" s="11" t="s">
        <v>51</v>
      </c>
      <c r="P244" s="11" t="s">
        <v>491</v>
      </c>
      <c r="Q244" s="13">
        <v>4.0439999999999996</v>
      </c>
      <c r="R244" s="11">
        <v>3</v>
      </c>
      <c r="S244" s="16">
        <v>0.6</v>
      </c>
      <c r="T244" s="13">
        <v>-2.8308</v>
      </c>
      <c r="U244" s="1" t="str">
        <f t="shared" si="10"/>
        <v>Loss</v>
      </c>
      <c r="V244" s="1" t="str">
        <f t="shared" si="11"/>
        <v>Low</v>
      </c>
    </row>
    <row r="245" spans="1:22" x14ac:dyDescent="0.35">
      <c r="A245" s="11">
        <v>244</v>
      </c>
      <c r="B245" s="10">
        <v>41430</v>
      </c>
      <c r="C245" s="11">
        <v>2013</v>
      </c>
      <c r="D245" s="12" t="s">
        <v>32</v>
      </c>
      <c r="E245" s="10">
        <v>41435</v>
      </c>
      <c r="F245" s="11">
        <f t="shared" si="9"/>
        <v>5</v>
      </c>
      <c r="G245" s="11" t="s">
        <v>21</v>
      </c>
      <c r="H245" s="11" t="s">
        <v>486</v>
      </c>
      <c r="I245" s="11" t="s">
        <v>23</v>
      </c>
      <c r="J245" s="11" t="s">
        <v>890</v>
      </c>
      <c r="K245" s="11" t="s">
        <v>189</v>
      </c>
      <c r="L245" s="11" t="s">
        <v>140</v>
      </c>
      <c r="M245" s="11" t="s">
        <v>79</v>
      </c>
      <c r="N245" s="11" t="s">
        <v>38</v>
      </c>
      <c r="O245" s="11" t="s">
        <v>53</v>
      </c>
      <c r="P245" s="11" t="s">
        <v>421</v>
      </c>
      <c r="Q245" s="13">
        <v>7.4080000000000004</v>
      </c>
      <c r="R245" s="11">
        <v>2</v>
      </c>
      <c r="S245" s="16">
        <v>0.2</v>
      </c>
      <c r="T245" s="13">
        <v>1.2038</v>
      </c>
      <c r="U245" s="1" t="str">
        <f t="shared" si="10"/>
        <v>Profit</v>
      </c>
      <c r="V245" s="1" t="str">
        <f t="shared" si="11"/>
        <v>Low</v>
      </c>
    </row>
    <row r="246" spans="1:22" x14ac:dyDescent="0.35">
      <c r="A246" s="11">
        <v>245</v>
      </c>
      <c r="B246" s="10">
        <v>40695</v>
      </c>
      <c r="C246" s="11">
        <v>2011</v>
      </c>
      <c r="D246" s="12" t="s">
        <v>32</v>
      </c>
      <c r="E246" s="10">
        <v>40700</v>
      </c>
      <c r="F246" s="11">
        <f t="shared" si="9"/>
        <v>5</v>
      </c>
      <c r="G246" s="11" t="s">
        <v>21</v>
      </c>
      <c r="H246" s="11" t="s">
        <v>492</v>
      </c>
      <c r="I246" s="11" t="s">
        <v>76</v>
      </c>
      <c r="J246" s="11" t="s">
        <v>890</v>
      </c>
      <c r="K246" s="11" t="s">
        <v>493</v>
      </c>
      <c r="L246" s="11" t="s">
        <v>150</v>
      </c>
      <c r="M246" s="11" t="s">
        <v>79</v>
      </c>
      <c r="N246" s="11" t="s">
        <v>27</v>
      </c>
      <c r="O246" s="11" t="s">
        <v>30</v>
      </c>
      <c r="P246" s="11" t="s">
        <v>302</v>
      </c>
      <c r="Q246" s="13">
        <v>2001.86</v>
      </c>
      <c r="R246" s="11">
        <v>7</v>
      </c>
      <c r="S246" s="16">
        <v>0</v>
      </c>
      <c r="T246" s="13">
        <v>580.5394</v>
      </c>
      <c r="U246" s="1" t="str">
        <f t="shared" si="10"/>
        <v>Profit</v>
      </c>
      <c r="V246" s="1" t="str">
        <f t="shared" si="11"/>
        <v>High</v>
      </c>
    </row>
    <row r="247" spans="1:22" x14ac:dyDescent="0.35">
      <c r="A247" s="11">
        <v>246</v>
      </c>
      <c r="B247" s="10">
        <v>40695</v>
      </c>
      <c r="C247" s="11">
        <v>2011</v>
      </c>
      <c r="D247" s="12" t="s">
        <v>32</v>
      </c>
      <c r="E247" s="10">
        <v>40700</v>
      </c>
      <c r="F247" s="11">
        <f t="shared" si="9"/>
        <v>5</v>
      </c>
      <c r="G247" s="11" t="s">
        <v>21</v>
      </c>
      <c r="H247" s="11" t="s">
        <v>492</v>
      </c>
      <c r="I247" s="11" t="s">
        <v>76</v>
      </c>
      <c r="J247" s="11" t="s">
        <v>890</v>
      </c>
      <c r="K247" s="11" t="s">
        <v>493</v>
      </c>
      <c r="L247" s="11" t="s">
        <v>150</v>
      </c>
      <c r="M247" s="11" t="s">
        <v>79</v>
      </c>
      <c r="N247" s="11" t="s">
        <v>38</v>
      </c>
      <c r="O247" s="11" t="s">
        <v>48</v>
      </c>
      <c r="P247" s="11" t="s">
        <v>494</v>
      </c>
      <c r="Q247" s="13">
        <v>166.72</v>
      </c>
      <c r="R247" s="11">
        <v>2</v>
      </c>
      <c r="S247" s="16">
        <v>0</v>
      </c>
      <c r="T247" s="13">
        <v>41.68</v>
      </c>
      <c r="U247" s="1" t="str">
        <f t="shared" si="10"/>
        <v>Profit</v>
      </c>
      <c r="V247" s="1" t="str">
        <f t="shared" si="11"/>
        <v>Low</v>
      </c>
    </row>
    <row r="248" spans="1:22" x14ac:dyDescent="0.35">
      <c r="A248" s="11">
        <v>247</v>
      </c>
      <c r="B248" s="10">
        <v>40695</v>
      </c>
      <c r="C248" s="11">
        <v>2011</v>
      </c>
      <c r="D248" s="12" t="s">
        <v>32</v>
      </c>
      <c r="E248" s="10">
        <v>40700</v>
      </c>
      <c r="F248" s="11">
        <f t="shared" si="9"/>
        <v>5</v>
      </c>
      <c r="G248" s="11" t="s">
        <v>21</v>
      </c>
      <c r="H248" s="11" t="s">
        <v>492</v>
      </c>
      <c r="I248" s="11" t="s">
        <v>76</v>
      </c>
      <c r="J248" s="11" t="s">
        <v>890</v>
      </c>
      <c r="K248" s="11" t="s">
        <v>493</v>
      </c>
      <c r="L248" s="11" t="s">
        <v>150</v>
      </c>
      <c r="M248" s="11" t="s">
        <v>79</v>
      </c>
      <c r="N248" s="11" t="s">
        <v>38</v>
      </c>
      <c r="O248" s="11" t="s">
        <v>68</v>
      </c>
      <c r="P248" s="11" t="s">
        <v>495</v>
      </c>
      <c r="Q248" s="13">
        <v>47.88</v>
      </c>
      <c r="R248" s="11">
        <v>6</v>
      </c>
      <c r="S248" s="16">
        <v>0</v>
      </c>
      <c r="T248" s="13">
        <v>23.94</v>
      </c>
      <c r="U248" s="1" t="str">
        <f t="shared" si="10"/>
        <v>Profit</v>
      </c>
      <c r="V248" s="1" t="str">
        <f t="shared" si="11"/>
        <v>Low</v>
      </c>
    </row>
    <row r="249" spans="1:22" x14ac:dyDescent="0.35">
      <c r="A249" s="11">
        <v>248</v>
      </c>
      <c r="B249" s="10">
        <v>40695</v>
      </c>
      <c r="C249" s="11">
        <v>2011</v>
      </c>
      <c r="D249" s="12" t="s">
        <v>32</v>
      </c>
      <c r="E249" s="10">
        <v>40700</v>
      </c>
      <c r="F249" s="11">
        <f t="shared" si="9"/>
        <v>5</v>
      </c>
      <c r="G249" s="11" t="s">
        <v>21</v>
      </c>
      <c r="H249" s="11" t="s">
        <v>492</v>
      </c>
      <c r="I249" s="11" t="s">
        <v>76</v>
      </c>
      <c r="J249" s="11" t="s">
        <v>890</v>
      </c>
      <c r="K249" s="11" t="s">
        <v>493</v>
      </c>
      <c r="L249" s="11" t="s">
        <v>150</v>
      </c>
      <c r="M249" s="11" t="s">
        <v>79</v>
      </c>
      <c r="N249" s="11" t="s">
        <v>38</v>
      </c>
      <c r="O249" s="11" t="s">
        <v>60</v>
      </c>
      <c r="P249" s="11" t="s">
        <v>496</v>
      </c>
      <c r="Q249" s="13">
        <v>1503.25</v>
      </c>
      <c r="R249" s="11">
        <v>5</v>
      </c>
      <c r="S249" s="16">
        <v>0</v>
      </c>
      <c r="T249" s="13">
        <v>496.07249999999999</v>
      </c>
      <c r="U249" s="1" t="str">
        <f t="shared" si="10"/>
        <v>Profit</v>
      </c>
      <c r="V249" s="1" t="str">
        <f t="shared" si="11"/>
        <v>High</v>
      </c>
    </row>
    <row r="250" spans="1:22" x14ac:dyDescent="0.35">
      <c r="A250" s="11">
        <v>249</v>
      </c>
      <c r="B250" s="10">
        <v>40695</v>
      </c>
      <c r="C250" s="11">
        <v>2011</v>
      </c>
      <c r="D250" s="12" t="s">
        <v>32</v>
      </c>
      <c r="E250" s="10">
        <v>40700</v>
      </c>
      <c r="F250" s="11">
        <f t="shared" si="9"/>
        <v>5</v>
      </c>
      <c r="G250" s="11" t="s">
        <v>21</v>
      </c>
      <c r="H250" s="11" t="s">
        <v>492</v>
      </c>
      <c r="I250" s="11" t="s">
        <v>76</v>
      </c>
      <c r="J250" s="11" t="s">
        <v>890</v>
      </c>
      <c r="K250" s="11" t="s">
        <v>493</v>
      </c>
      <c r="L250" s="11" t="s">
        <v>150</v>
      </c>
      <c r="M250" s="11" t="s">
        <v>79</v>
      </c>
      <c r="N250" s="11" t="s">
        <v>38</v>
      </c>
      <c r="O250" s="11" t="s">
        <v>68</v>
      </c>
      <c r="P250" s="11" t="s">
        <v>415</v>
      </c>
      <c r="Q250" s="13">
        <v>25.92</v>
      </c>
      <c r="R250" s="11">
        <v>4</v>
      </c>
      <c r="S250" s="16">
        <v>0</v>
      </c>
      <c r="T250" s="13">
        <v>12.441599999999999</v>
      </c>
      <c r="U250" s="1" t="str">
        <f t="shared" si="10"/>
        <v>Profit</v>
      </c>
      <c r="V250" s="1" t="str">
        <f t="shared" si="11"/>
        <v>Low</v>
      </c>
    </row>
    <row r="251" spans="1:22" x14ac:dyDescent="0.35">
      <c r="A251" s="11">
        <v>250</v>
      </c>
      <c r="B251" s="10">
        <v>41619</v>
      </c>
      <c r="C251" s="11">
        <v>2013</v>
      </c>
      <c r="D251" s="12" t="s">
        <v>70</v>
      </c>
      <c r="E251" s="10">
        <v>41624</v>
      </c>
      <c r="F251" s="11">
        <f t="shared" si="9"/>
        <v>5</v>
      </c>
      <c r="G251" s="11" t="s">
        <v>21</v>
      </c>
      <c r="H251" s="11" t="s">
        <v>497</v>
      </c>
      <c r="I251" s="11" t="s">
        <v>23</v>
      </c>
      <c r="J251" s="11" t="s">
        <v>890</v>
      </c>
      <c r="K251" s="11" t="s">
        <v>93</v>
      </c>
      <c r="L251" s="11" t="s">
        <v>36</v>
      </c>
      <c r="M251" s="11" t="s">
        <v>37</v>
      </c>
      <c r="N251" s="11" t="s">
        <v>27</v>
      </c>
      <c r="O251" s="11" t="s">
        <v>30</v>
      </c>
      <c r="P251" s="11" t="s">
        <v>498</v>
      </c>
      <c r="Q251" s="13">
        <v>321.56799999999998</v>
      </c>
      <c r="R251" s="11">
        <v>2</v>
      </c>
      <c r="S251" s="16">
        <v>0.2</v>
      </c>
      <c r="T251" s="13">
        <v>28.1372</v>
      </c>
      <c r="U251" s="1" t="str">
        <f t="shared" si="10"/>
        <v>Profit</v>
      </c>
      <c r="V251" s="1" t="str">
        <f t="shared" si="11"/>
        <v>Low</v>
      </c>
    </row>
    <row r="252" spans="1:22" x14ac:dyDescent="0.35">
      <c r="A252" s="11">
        <v>251</v>
      </c>
      <c r="B252" s="10">
        <v>41529</v>
      </c>
      <c r="C252" s="11">
        <v>2013</v>
      </c>
      <c r="D252" s="12" t="s">
        <v>108</v>
      </c>
      <c r="E252" s="10">
        <v>41535</v>
      </c>
      <c r="F252" s="11">
        <f t="shared" si="9"/>
        <v>6</v>
      </c>
      <c r="G252" s="11" t="s">
        <v>42</v>
      </c>
      <c r="H252" s="11" t="s">
        <v>499</v>
      </c>
      <c r="I252" s="11" t="s">
        <v>23</v>
      </c>
      <c r="J252" s="11" t="s">
        <v>890</v>
      </c>
      <c r="K252" s="11" t="s">
        <v>500</v>
      </c>
      <c r="L252" s="11" t="s">
        <v>36</v>
      </c>
      <c r="M252" s="11" t="s">
        <v>37</v>
      </c>
      <c r="N252" s="11" t="s">
        <v>38</v>
      </c>
      <c r="O252" s="11" t="s">
        <v>68</v>
      </c>
      <c r="P252" s="11" t="s">
        <v>501</v>
      </c>
      <c r="Q252" s="13">
        <v>7.61</v>
      </c>
      <c r="R252" s="11">
        <v>1</v>
      </c>
      <c r="S252" s="16">
        <v>0</v>
      </c>
      <c r="T252" s="13">
        <v>3.5767000000000002</v>
      </c>
      <c r="U252" s="1" t="str">
        <f t="shared" si="10"/>
        <v>Profit</v>
      </c>
      <c r="V252" s="1" t="str">
        <f t="shared" si="11"/>
        <v>Low</v>
      </c>
    </row>
    <row r="253" spans="1:22" x14ac:dyDescent="0.35">
      <c r="A253" s="11">
        <v>252</v>
      </c>
      <c r="B253" s="10">
        <v>41529</v>
      </c>
      <c r="C253" s="11">
        <v>2013</v>
      </c>
      <c r="D253" s="12" t="s">
        <v>108</v>
      </c>
      <c r="E253" s="10">
        <v>41535</v>
      </c>
      <c r="F253" s="11">
        <f t="shared" si="9"/>
        <v>6</v>
      </c>
      <c r="G253" s="11" t="s">
        <v>42</v>
      </c>
      <c r="H253" s="11" t="s">
        <v>499</v>
      </c>
      <c r="I253" s="11" t="s">
        <v>23</v>
      </c>
      <c r="J253" s="11" t="s">
        <v>890</v>
      </c>
      <c r="K253" s="11" t="s">
        <v>500</v>
      </c>
      <c r="L253" s="11" t="s">
        <v>36</v>
      </c>
      <c r="M253" s="11" t="s">
        <v>37</v>
      </c>
      <c r="N253" s="11" t="s">
        <v>55</v>
      </c>
      <c r="O253" s="11" t="s">
        <v>114</v>
      </c>
      <c r="P253" s="11" t="s">
        <v>482</v>
      </c>
      <c r="Q253" s="13">
        <v>3347.37</v>
      </c>
      <c r="R253" s="11">
        <v>13</v>
      </c>
      <c r="S253" s="16">
        <v>0</v>
      </c>
      <c r="T253" s="13">
        <v>636.00030000000004</v>
      </c>
      <c r="U253" s="1" t="str">
        <f t="shared" si="10"/>
        <v>Profit</v>
      </c>
      <c r="V253" s="1" t="str">
        <f t="shared" si="11"/>
        <v>High</v>
      </c>
    </row>
    <row r="254" spans="1:22" x14ac:dyDescent="0.35">
      <c r="A254" s="11">
        <v>253</v>
      </c>
      <c r="B254" s="10">
        <v>41619</v>
      </c>
      <c r="C254" s="11">
        <v>2013</v>
      </c>
      <c r="D254" s="12" t="s">
        <v>70</v>
      </c>
      <c r="E254" s="10">
        <v>41622</v>
      </c>
      <c r="F254" s="11">
        <f t="shared" si="9"/>
        <v>3</v>
      </c>
      <c r="G254" s="11" t="s">
        <v>128</v>
      </c>
      <c r="H254" s="11" t="s">
        <v>502</v>
      </c>
      <c r="I254" s="11" t="s">
        <v>23</v>
      </c>
      <c r="J254" s="11" t="s">
        <v>890</v>
      </c>
      <c r="K254" s="11" t="s">
        <v>170</v>
      </c>
      <c r="L254" s="11" t="s">
        <v>171</v>
      </c>
      <c r="M254" s="11" t="s">
        <v>106</v>
      </c>
      <c r="N254" s="11" t="s">
        <v>38</v>
      </c>
      <c r="O254" s="11" t="s">
        <v>48</v>
      </c>
      <c r="P254" s="11" t="s">
        <v>503</v>
      </c>
      <c r="Q254" s="13">
        <v>80.58</v>
      </c>
      <c r="R254" s="11">
        <v>6</v>
      </c>
      <c r="S254" s="16">
        <v>0</v>
      </c>
      <c r="T254" s="13">
        <v>22.5624</v>
      </c>
      <c r="U254" s="1" t="str">
        <f t="shared" si="10"/>
        <v>Profit</v>
      </c>
      <c r="V254" s="1" t="str">
        <f t="shared" si="11"/>
        <v>Low</v>
      </c>
    </row>
    <row r="255" spans="1:22" x14ac:dyDescent="0.35">
      <c r="A255" s="11">
        <v>254</v>
      </c>
      <c r="B255" s="10">
        <v>41619</v>
      </c>
      <c r="C255" s="11">
        <v>2013</v>
      </c>
      <c r="D255" s="12" t="s">
        <v>70</v>
      </c>
      <c r="E255" s="10">
        <v>41622</v>
      </c>
      <c r="F255" s="11">
        <f t="shared" si="9"/>
        <v>3</v>
      </c>
      <c r="G255" s="11" t="s">
        <v>128</v>
      </c>
      <c r="H255" s="11" t="s">
        <v>502</v>
      </c>
      <c r="I255" s="11" t="s">
        <v>23</v>
      </c>
      <c r="J255" s="11" t="s">
        <v>890</v>
      </c>
      <c r="K255" s="11" t="s">
        <v>170</v>
      </c>
      <c r="L255" s="11" t="s">
        <v>171</v>
      </c>
      <c r="M255" s="11" t="s">
        <v>106</v>
      </c>
      <c r="N255" s="11" t="s">
        <v>38</v>
      </c>
      <c r="O255" s="11" t="s">
        <v>120</v>
      </c>
      <c r="P255" s="11" t="s">
        <v>504</v>
      </c>
      <c r="Q255" s="13">
        <v>361.92</v>
      </c>
      <c r="R255" s="11">
        <v>4</v>
      </c>
      <c r="S255" s="16">
        <v>0</v>
      </c>
      <c r="T255" s="13">
        <v>162.864</v>
      </c>
      <c r="U255" s="1" t="str">
        <f t="shared" si="10"/>
        <v>Profit</v>
      </c>
      <c r="V255" s="1" t="str">
        <f t="shared" si="11"/>
        <v>Low</v>
      </c>
    </row>
    <row r="256" spans="1:22" x14ac:dyDescent="0.35">
      <c r="A256" s="11">
        <v>255</v>
      </c>
      <c r="B256" s="10">
        <v>41241</v>
      </c>
      <c r="C256" s="11">
        <v>2012</v>
      </c>
      <c r="D256" s="12" t="s">
        <v>20</v>
      </c>
      <c r="E256" s="10">
        <v>41247</v>
      </c>
      <c r="F256" s="11">
        <f t="shared" si="9"/>
        <v>6</v>
      </c>
      <c r="G256" s="11" t="s">
        <v>42</v>
      </c>
      <c r="H256" s="11" t="s">
        <v>505</v>
      </c>
      <c r="I256" s="11" t="s">
        <v>34</v>
      </c>
      <c r="J256" s="11" t="s">
        <v>890</v>
      </c>
      <c r="K256" s="11" t="s">
        <v>189</v>
      </c>
      <c r="L256" s="11" t="s">
        <v>140</v>
      </c>
      <c r="M256" s="11" t="s">
        <v>79</v>
      </c>
      <c r="N256" s="11" t="s">
        <v>27</v>
      </c>
      <c r="O256" s="11" t="s">
        <v>51</v>
      </c>
      <c r="P256" s="11" t="s">
        <v>491</v>
      </c>
      <c r="Q256" s="13">
        <v>12.132</v>
      </c>
      <c r="R256" s="11">
        <v>9</v>
      </c>
      <c r="S256" s="16">
        <v>0.6</v>
      </c>
      <c r="T256" s="13">
        <v>-8.4923999999999999</v>
      </c>
      <c r="U256" s="1" t="str">
        <f t="shared" si="10"/>
        <v>Loss</v>
      </c>
      <c r="V256" s="1" t="str">
        <f t="shared" si="11"/>
        <v>Low</v>
      </c>
    </row>
    <row r="257" spans="1:22" x14ac:dyDescent="0.35">
      <c r="A257" s="11">
        <v>256</v>
      </c>
      <c r="B257" s="10">
        <v>41241</v>
      </c>
      <c r="C257" s="11">
        <v>2012</v>
      </c>
      <c r="D257" s="12" t="s">
        <v>20</v>
      </c>
      <c r="E257" s="10">
        <v>41247</v>
      </c>
      <c r="F257" s="11">
        <f t="shared" si="9"/>
        <v>6</v>
      </c>
      <c r="G257" s="11" t="s">
        <v>42</v>
      </c>
      <c r="H257" s="11" t="s">
        <v>505</v>
      </c>
      <c r="I257" s="11" t="s">
        <v>34</v>
      </c>
      <c r="J257" s="11" t="s">
        <v>890</v>
      </c>
      <c r="K257" s="11" t="s">
        <v>189</v>
      </c>
      <c r="L257" s="11" t="s">
        <v>140</v>
      </c>
      <c r="M257" s="11" t="s">
        <v>79</v>
      </c>
      <c r="N257" s="11" t="s">
        <v>38</v>
      </c>
      <c r="O257" s="11" t="s">
        <v>48</v>
      </c>
      <c r="P257" s="11" t="s">
        <v>506</v>
      </c>
      <c r="Q257" s="13">
        <v>82.367999999999995</v>
      </c>
      <c r="R257" s="11">
        <v>2</v>
      </c>
      <c r="S257" s="16">
        <v>0.2</v>
      </c>
      <c r="T257" s="13">
        <v>-19.5624</v>
      </c>
      <c r="U257" s="1" t="str">
        <f t="shared" si="10"/>
        <v>Loss</v>
      </c>
      <c r="V257" s="1" t="str">
        <f t="shared" si="11"/>
        <v>Low</v>
      </c>
    </row>
    <row r="258" spans="1:22" x14ac:dyDescent="0.35">
      <c r="A258" s="11">
        <v>257</v>
      </c>
      <c r="B258" s="10">
        <v>41241</v>
      </c>
      <c r="C258" s="11">
        <v>2012</v>
      </c>
      <c r="D258" s="12" t="s">
        <v>20</v>
      </c>
      <c r="E258" s="10">
        <v>41247</v>
      </c>
      <c r="F258" s="11">
        <f t="shared" ref="F258:F321" si="12">_xlfn.DAYS(E258,B258)</f>
        <v>6</v>
      </c>
      <c r="G258" s="11" t="s">
        <v>42</v>
      </c>
      <c r="H258" s="11" t="s">
        <v>505</v>
      </c>
      <c r="I258" s="11" t="s">
        <v>34</v>
      </c>
      <c r="J258" s="11" t="s">
        <v>890</v>
      </c>
      <c r="K258" s="11" t="s">
        <v>189</v>
      </c>
      <c r="L258" s="11" t="s">
        <v>140</v>
      </c>
      <c r="M258" s="11" t="s">
        <v>79</v>
      </c>
      <c r="N258" s="11" t="s">
        <v>38</v>
      </c>
      <c r="O258" s="11" t="s">
        <v>48</v>
      </c>
      <c r="P258" s="11" t="s">
        <v>353</v>
      </c>
      <c r="Q258" s="13">
        <v>53.92</v>
      </c>
      <c r="R258" s="11">
        <v>5</v>
      </c>
      <c r="S258" s="16">
        <v>0.2</v>
      </c>
      <c r="T258" s="13">
        <v>4.0439999999999996</v>
      </c>
      <c r="U258" s="1" t="str">
        <f t="shared" si="10"/>
        <v>Profit</v>
      </c>
      <c r="V258" s="1" t="str">
        <f t="shared" si="11"/>
        <v>Low</v>
      </c>
    </row>
    <row r="259" spans="1:22" x14ac:dyDescent="0.35">
      <c r="A259" s="11">
        <v>258</v>
      </c>
      <c r="B259" s="10">
        <v>41241</v>
      </c>
      <c r="C259" s="11">
        <v>2012</v>
      </c>
      <c r="D259" s="12" t="s">
        <v>20</v>
      </c>
      <c r="E259" s="10">
        <v>41247</v>
      </c>
      <c r="F259" s="11">
        <f t="shared" si="12"/>
        <v>6</v>
      </c>
      <c r="G259" s="11" t="s">
        <v>42</v>
      </c>
      <c r="H259" s="11" t="s">
        <v>505</v>
      </c>
      <c r="I259" s="11" t="s">
        <v>34</v>
      </c>
      <c r="J259" s="11" t="s">
        <v>890</v>
      </c>
      <c r="K259" s="11" t="s">
        <v>189</v>
      </c>
      <c r="L259" s="11" t="s">
        <v>140</v>
      </c>
      <c r="M259" s="11" t="s">
        <v>79</v>
      </c>
      <c r="N259" s="11" t="s">
        <v>55</v>
      </c>
      <c r="O259" s="11" t="s">
        <v>56</v>
      </c>
      <c r="P259" s="11" t="s">
        <v>507</v>
      </c>
      <c r="Q259" s="13">
        <v>647.904</v>
      </c>
      <c r="R259" s="11">
        <v>6</v>
      </c>
      <c r="S259" s="16">
        <v>0.2</v>
      </c>
      <c r="T259" s="13">
        <v>56.691600000000001</v>
      </c>
      <c r="U259" s="1" t="str">
        <f t="shared" ref="U259:U322" si="13">IF(T259&gt;0,"Profit","Loss")</f>
        <v>Profit</v>
      </c>
      <c r="V259" s="1" t="str">
        <f t="shared" ref="V259:V322" si="14">IF(Q259&gt;=1000,"High",IF(Q259&gt;=500,"Medium","Low"))</f>
        <v>Medium</v>
      </c>
    </row>
    <row r="260" spans="1:22" x14ac:dyDescent="0.35">
      <c r="A260" s="11">
        <v>259</v>
      </c>
      <c r="B260" s="10">
        <v>41975</v>
      </c>
      <c r="C260" s="11">
        <v>2014</v>
      </c>
      <c r="D260" s="12" t="s">
        <v>70</v>
      </c>
      <c r="E260" s="10">
        <v>41977</v>
      </c>
      <c r="F260" s="11">
        <f t="shared" si="12"/>
        <v>2</v>
      </c>
      <c r="G260" s="11" t="s">
        <v>21</v>
      </c>
      <c r="H260" s="11" t="s">
        <v>508</v>
      </c>
      <c r="I260" s="11" t="s">
        <v>23</v>
      </c>
      <c r="J260" s="11" t="s">
        <v>890</v>
      </c>
      <c r="K260" s="11" t="s">
        <v>170</v>
      </c>
      <c r="L260" s="11" t="s">
        <v>171</v>
      </c>
      <c r="M260" s="11" t="s">
        <v>106</v>
      </c>
      <c r="N260" s="11" t="s">
        <v>55</v>
      </c>
      <c r="O260" s="11" t="s">
        <v>114</v>
      </c>
      <c r="P260" s="11" t="s">
        <v>509</v>
      </c>
      <c r="Q260" s="13">
        <v>20.37</v>
      </c>
      <c r="R260" s="11">
        <v>3</v>
      </c>
      <c r="S260" s="16">
        <v>0</v>
      </c>
      <c r="T260" s="13">
        <v>6.9257999999999997</v>
      </c>
      <c r="U260" s="1" t="str">
        <f t="shared" si="13"/>
        <v>Profit</v>
      </c>
      <c r="V260" s="1" t="str">
        <f t="shared" si="14"/>
        <v>Low</v>
      </c>
    </row>
    <row r="261" spans="1:22" x14ac:dyDescent="0.35">
      <c r="A261" s="11">
        <v>260</v>
      </c>
      <c r="B261" s="10">
        <v>41975</v>
      </c>
      <c r="C261" s="11">
        <v>2014</v>
      </c>
      <c r="D261" s="12" t="s">
        <v>70</v>
      </c>
      <c r="E261" s="10">
        <v>41977</v>
      </c>
      <c r="F261" s="11">
        <f t="shared" si="12"/>
        <v>2</v>
      </c>
      <c r="G261" s="11" t="s">
        <v>21</v>
      </c>
      <c r="H261" s="11" t="s">
        <v>508</v>
      </c>
      <c r="I261" s="11" t="s">
        <v>23</v>
      </c>
      <c r="J261" s="11" t="s">
        <v>890</v>
      </c>
      <c r="K261" s="11" t="s">
        <v>170</v>
      </c>
      <c r="L261" s="11" t="s">
        <v>171</v>
      </c>
      <c r="M261" s="11" t="s">
        <v>106</v>
      </c>
      <c r="N261" s="11" t="s">
        <v>38</v>
      </c>
      <c r="O261" s="11" t="s">
        <v>48</v>
      </c>
      <c r="P261" s="11" t="s">
        <v>510</v>
      </c>
      <c r="Q261" s="13">
        <v>221.55</v>
      </c>
      <c r="R261" s="11">
        <v>3</v>
      </c>
      <c r="S261" s="16">
        <v>0</v>
      </c>
      <c r="T261" s="13">
        <v>6.6464999999999996</v>
      </c>
      <c r="U261" s="1" t="str">
        <f t="shared" si="13"/>
        <v>Profit</v>
      </c>
      <c r="V261" s="1" t="str">
        <f t="shared" si="14"/>
        <v>Low</v>
      </c>
    </row>
    <row r="262" spans="1:22" x14ac:dyDescent="0.35">
      <c r="A262" s="11">
        <v>261</v>
      </c>
      <c r="B262" s="10">
        <v>41975</v>
      </c>
      <c r="C262" s="11">
        <v>2014</v>
      </c>
      <c r="D262" s="12" t="s">
        <v>70</v>
      </c>
      <c r="E262" s="10">
        <v>41977</v>
      </c>
      <c r="F262" s="11">
        <f t="shared" si="12"/>
        <v>2</v>
      </c>
      <c r="G262" s="11" t="s">
        <v>21</v>
      </c>
      <c r="H262" s="11" t="s">
        <v>508</v>
      </c>
      <c r="I262" s="11" t="s">
        <v>23</v>
      </c>
      <c r="J262" s="11" t="s">
        <v>890</v>
      </c>
      <c r="K262" s="11" t="s">
        <v>170</v>
      </c>
      <c r="L262" s="11" t="s">
        <v>171</v>
      </c>
      <c r="M262" s="11" t="s">
        <v>106</v>
      </c>
      <c r="N262" s="11" t="s">
        <v>38</v>
      </c>
      <c r="O262" s="11" t="s">
        <v>58</v>
      </c>
      <c r="P262" s="11" t="s">
        <v>511</v>
      </c>
      <c r="Q262" s="13">
        <v>17.52</v>
      </c>
      <c r="R262" s="11">
        <v>5</v>
      </c>
      <c r="S262" s="16">
        <v>0.2</v>
      </c>
      <c r="T262" s="13">
        <v>6.1319999999999997</v>
      </c>
      <c r="U262" s="1" t="str">
        <f t="shared" si="13"/>
        <v>Profit</v>
      </c>
      <c r="V262" s="1" t="str">
        <f t="shared" si="14"/>
        <v>Low</v>
      </c>
    </row>
    <row r="263" spans="1:22" x14ac:dyDescent="0.35">
      <c r="A263" s="11">
        <v>262</v>
      </c>
      <c r="B263" s="10">
        <v>41799</v>
      </c>
      <c r="C263" s="11">
        <v>2014</v>
      </c>
      <c r="D263" s="12" t="s">
        <v>32</v>
      </c>
      <c r="E263" s="10">
        <v>41803</v>
      </c>
      <c r="F263" s="11">
        <f t="shared" si="12"/>
        <v>4</v>
      </c>
      <c r="G263" s="11" t="s">
        <v>42</v>
      </c>
      <c r="H263" s="11" t="s">
        <v>512</v>
      </c>
      <c r="I263" s="11" t="s">
        <v>34</v>
      </c>
      <c r="J263" s="11" t="s">
        <v>890</v>
      </c>
      <c r="K263" s="11" t="s">
        <v>336</v>
      </c>
      <c r="L263" s="11" t="s">
        <v>78</v>
      </c>
      <c r="M263" s="11" t="s">
        <v>79</v>
      </c>
      <c r="N263" s="11" t="s">
        <v>38</v>
      </c>
      <c r="O263" s="11" t="s">
        <v>60</v>
      </c>
      <c r="P263" s="11" t="s">
        <v>513</v>
      </c>
      <c r="Q263" s="13">
        <v>1.6240000000000001</v>
      </c>
      <c r="R263" s="11">
        <v>2</v>
      </c>
      <c r="S263" s="16">
        <v>0.8</v>
      </c>
      <c r="T263" s="13">
        <v>-4.4660000000000002</v>
      </c>
      <c r="U263" s="1" t="str">
        <f t="shared" si="13"/>
        <v>Loss</v>
      </c>
      <c r="V263" s="1" t="str">
        <f t="shared" si="14"/>
        <v>Low</v>
      </c>
    </row>
    <row r="264" spans="1:22" x14ac:dyDescent="0.35">
      <c r="A264" s="11">
        <v>263</v>
      </c>
      <c r="B264" s="10">
        <v>40805</v>
      </c>
      <c r="C264" s="11">
        <v>2011</v>
      </c>
      <c r="D264" s="12" t="s">
        <v>108</v>
      </c>
      <c r="E264" s="10">
        <v>40807</v>
      </c>
      <c r="F264" s="11">
        <f t="shared" si="12"/>
        <v>2</v>
      </c>
      <c r="G264" s="11" t="s">
        <v>21</v>
      </c>
      <c r="H264" s="11" t="s">
        <v>514</v>
      </c>
      <c r="I264" s="11" t="s">
        <v>34</v>
      </c>
      <c r="J264" s="11" t="s">
        <v>890</v>
      </c>
      <c r="K264" s="11" t="s">
        <v>126</v>
      </c>
      <c r="L264" s="11" t="s">
        <v>78</v>
      </c>
      <c r="M264" s="11" t="s">
        <v>79</v>
      </c>
      <c r="N264" s="11" t="s">
        <v>55</v>
      </c>
      <c r="O264" s="11" t="s">
        <v>374</v>
      </c>
      <c r="P264" s="11" t="s">
        <v>375</v>
      </c>
      <c r="Q264" s="13">
        <v>3059.982</v>
      </c>
      <c r="R264" s="11">
        <v>3</v>
      </c>
      <c r="S264" s="16">
        <v>0.4</v>
      </c>
      <c r="T264" s="13">
        <v>-509.99700000000001</v>
      </c>
      <c r="U264" s="1" t="str">
        <f t="shared" si="13"/>
        <v>Loss</v>
      </c>
      <c r="V264" s="1" t="str">
        <f t="shared" si="14"/>
        <v>High</v>
      </c>
    </row>
    <row r="265" spans="1:22" x14ac:dyDescent="0.35">
      <c r="A265" s="11">
        <v>264</v>
      </c>
      <c r="B265" s="10">
        <v>40805</v>
      </c>
      <c r="C265" s="11">
        <v>2011</v>
      </c>
      <c r="D265" s="12" t="s">
        <v>108</v>
      </c>
      <c r="E265" s="10">
        <v>40807</v>
      </c>
      <c r="F265" s="11">
        <f t="shared" si="12"/>
        <v>2</v>
      </c>
      <c r="G265" s="11" t="s">
        <v>21</v>
      </c>
      <c r="H265" s="11" t="s">
        <v>514</v>
      </c>
      <c r="I265" s="11" t="s">
        <v>34</v>
      </c>
      <c r="J265" s="11" t="s">
        <v>890</v>
      </c>
      <c r="K265" s="11" t="s">
        <v>126</v>
      </c>
      <c r="L265" s="11" t="s">
        <v>78</v>
      </c>
      <c r="M265" s="11" t="s">
        <v>79</v>
      </c>
      <c r="N265" s="11" t="s">
        <v>55</v>
      </c>
      <c r="O265" s="11" t="s">
        <v>374</v>
      </c>
      <c r="P265" s="11" t="s">
        <v>515</v>
      </c>
      <c r="Q265" s="13">
        <v>2519.9580000000001</v>
      </c>
      <c r="R265" s="11">
        <v>7</v>
      </c>
      <c r="S265" s="16">
        <v>0.4</v>
      </c>
      <c r="T265" s="13">
        <v>-251.9958</v>
      </c>
      <c r="U265" s="1" t="str">
        <f t="shared" si="13"/>
        <v>Loss</v>
      </c>
      <c r="V265" s="1" t="str">
        <f t="shared" si="14"/>
        <v>High</v>
      </c>
    </row>
    <row r="266" spans="1:22" x14ac:dyDescent="0.35">
      <c r="A266" s="11">
        <v>265</v>
      </c>
      <c r="B266" s="10">
        <v>41432</v>
      </c>
      <c r="C266" s="11">
        <v>2013</v>
      </c>
      <c r="D266" s="12" t="s">
        <v>32</v>
      </c>
      <c r="E266" s="10">
        <v>41439</v>
      </c>
      <c r="F266" s="11">
        <f t="shared" si="12"/>
        <v>7</v>
      </c>
      <c r="G266" s="11" t="s">
        <v>42</v>
      </c>
      <c r="H266" s="11" t="s">
        <v>516</v>
      </c>
      <c r="I266" s="11" t="s">
        <v>23</v>
      </c>
      <c r="J266" s="11" t="s">
        <v>890</v>
      </c>
      <c r="K266" s="11" t="s">
        <v>189</v>
      </c>
      <c r="L266" s="11" t="s">
        <v>140</v>
      </c>
      <c r="M266" s="11" t="s">
        <v>79</v>
      </c>
      <c r="N266" s="11" t="s">
        <v>55</v>
      </c>
      <c r="O266" s="11" t="s">
        <v>56</v>
      </c>
      <c r="P266" s="11" t="s">
        <v>517</v>
      </c>
      <c r="Q266" s="13">
        <v>328.22399999999999</v>
      </c>
      <c r="R266" s="11">
        <v>4</v>
      </c>
      <c r="S266" s="16">
        <v>0.2</v>
      </c>
      <c r="T266" s="13">
        <v>28.7196</v>
      </c>
      <c r="U266" s="1" t="str">
        <f t="shared" si="13"/>
        <v>Profit</v>
      </c>
      <c r="V266" s="1" t="str">
        <f t="shared" si="14"/>
        <v>Low</v>
      </c>
    </row>
    <row r="267" spans="1:22" x14ac:dyDescent="0.35">
      <c r="A267" s="11">
        <v>266</v>
      </c>
      <c r="B267" s="10">
        <v>41223</v>
      </c>
      <c r="C267" s="11">
        <v>2012</v>
      </c>
      <c r="D267" s="12" t="s">
        <v>20</v>
      </c>
      <c r="E267" s="10">
        <v>41228</v>
      </c>
      <c r="F267" s="11">
        <f t="shared" si="12"/>
        <v>5</v>
      </c>
      <c r="G267" s="11" t="s">
        <v>42</v>
      </c>
      <c r="H267" s="11" t="s">
        <v>518</v>
      </c>
      <c r="I267" s="11" t="s">
        <v>23</v>
      </c>
      <c r="J267" s="11" t="s">
        <v>890</v>
      </c>
      <c r="K267" s="11" t="s">
        <v>519</v>
      </c>
      <c r="L267" s="11" t="s">
        <v>36</v>
      </c>
      <c r="M267" s="11" t="s">
        <v>37</v>
      </c>
      <c r="N267" s="11" t="s">
        <v>55</v>
      </c>
      <c r="O267" s="11" t="s">
        <v>114</v>
      </c>
      <c r="P267" s="11" t="s">
        <v>520</v>
      </c>
      <c r="Q267" s="13">
        <v>79.900000000000006</v>
      </c>
      <c r="R267" s="11">
        <v>2</v>
      </c>
      <c r="S267" s="16">
        <v>0</v>
      </c>
      <c r="T267" s="13">
        <v>35.155999999999999</v>
      </c>
      <c r="U267" s="1" t="str">
        <f t="shared" si="13"/>
        <v>Profit</v>
      </c>
      <c r="V267" s="1" t="str">
        <f t="shared" si="14"/>
        <v>Low</v>
      </c>
    </row>
    <row r="268" spans="1:22" x14ac:dyDescent="0.35">
      <c r="A268" s="11">
        <v>267</v>
      </c>
      <c r="B268" s="10">
        <v>41807</v>
      </c>
      <c r="C268" s="11">
        <v>2014</v>
      </c>
      <c r="D268" s="12" t="s">
        <v>32</v>
      </c>
      <c r="E268" s="10">
        <v>41811</v>
      </c>
      <c r="F268" s="11">
        <f t="shared" si="12"/>
        <v>4</v>
      </c>
      <c r="G268" s="11" t="s">
        <v>42</v>
      </c>
      <c r="H268" s="11" t="s">
        <v>521</v>
      </c>
      <c r="I268" s="11" t="s">
        <v>34</v>
      </c>
      <c r="J268" s="11" t="s">
        <v>890</v>
      </c>
      <c r="K268" s="11" t="s">
        <v>522</v>
      </c>
      <c r="L268" s="11" t="s">
        <v>67</v>
      </c>
      <c r="M268" s="11" t="s">
        <v>26</v>
      </c>
      <c r="N268" s="11" t="s">
        <v>38</v>
      </c>
      <c r="O268" s="11" t="s">
        <v>53</v>
      </c>
      <c r="P268" s="11" t="s">
        <v>523</v>
      </c>
      <c r="Q268" s="13">
        <v>14.016</v>
      </c>
      <c r="R268" s="11">
        <v>3</v>
      </c>
      <c r="S268" s="16">
        <v>0.2</v>
      </c>
      <c r="T268" s="13">
        <v>4.7304000000000004</v>
      </c>
      <c r="U268" s="1" t="str">
        <f t="shared" si="13"/>
        <v>Profit</v>
      </c>
      <c r="V268" s="1" t="str">
        <f t="shared" si="14"/>
        <v>Low</v>
      </c>
    </row>
    <row r="269" spans="1:22" x14ac:dyDescent="0.35">
      <c r="A269" s="11">
        <v>268</v>
      </c>
      <c r="B269" s="10">
        <v>41296</v>
      </c>
      <c r="C269" s="11">
        <v>2013</v>
      </c>
      <c r="D269" s="12" t="s">
        <v>111</v>
      </c>
      <c r="E269" s="10">
        <v>41302</v>
      </c>
      <c r="F269" s="11">
        <f t="shared" si="12"/>
        <v>6</v>
      </c>
      <c r="G269" s="11" t="s">
        <v>42</v>
      </c>
      <c r="H269" s="11" t="s">
        <v>231</v>
      </c>
      <c r="I269" s="11" t="s">
        <v>23</v>
      </c>
      <c r="J269" s="11" t="s">
        <v>890</v>
      </c>
      <c r="K269" s="11" t="s">
        <v>524</v>
      </c>
      <c r="L269" s="11" t="s">
        <v>425</v>
      </c>
      <c r="M269" s="11" t="s">
        <v>106</v>
      </c>
      <c r="N269" s="11" t="s">
        <v>38</v>
      </c>
      <c r="O269" s="11" t="s">
        <v>172</v>
      </c>
      <c r="P269" s="11" t="s">
        <v>525</v>
      </c>
      <c r="Q269" s="13">
        <v>7.56</v>
      </c>
      <c r="R269" s="11">
        <v>6</v>
      </c>
      <c r="S269" s="16">
        <v>0</v>
      </c>
      <c r="T269" s="13">
        <v>0.3024</v>
      </c>
      <c r="U269" s="1" t="str">
        <f t="shared" si="13"/>
        <v>Profit</v>
      </c>
      <c r="V269" s="1" t="str">
        <f t="shared" si="14"/>
        <v>Low</v>
      </c>
    </row>
    <row r="270" spans="1:22" x14ac:dyDescent="0.35">
      <c r="A270" s="11">
        <v>269</v>
      </c>
      <c r="B270" s="10">
        <v>41983</v>
      </c>
      <c r="C270" s="11">
        <v>2014</v>
      </c>
      <c r="D270" s="12" t="s">
        <v>70</v>
      </c>
      <c r="E270" s="10">
        <v>41987</v>
      </c>
      <c r="F270" s="11">
        <f t="shared" si="12"/>
        <v>4</v>
      </c>
      <c r="G270" s="11" t="s">
        <v>42</v>
      </c>
      <c r="H270" s="11" t="s">
        <v>526</v>
      </c>
      <c r="I270" s="11" t="s">
        <v>34</v>
      </c>
      <c r="J270" s="11" t="s">
        <v>890</v>
      </c>
      <c r="K270" s="11" t="s">
        <v>527</v>
      </c>
      <c r="L270" s="11" t="s">
        <v>285</v>
      </c>
      <c r="M270" s="11" t="s">
        <v>106</v>
      </c>
      <c r="N270" s="11" t="s">
        <v>38</v>
      </c>
      <c r="O270" s="11" t="s">
        <v>48</v>
      </c>
      <c r="P270" s="11" t="s">
        <v>528</v>
      </c>
      <c r="Q270" s="13">
        <v>37.207999999999998</v>
      </c>
      <c r="R270" s="11">
        <v>1</v>
      </c>
      <c r="S270" s="16">
        <v>0.2</v>
      </c>
      <c r="T270" s="13">
        <v>-7.4416000000000002</v>
      </c>
      <c r="U270" s="1" t="str">
        <f t="shared" si="13"/>
        <v>Loss</v>
      </c>
      <c r="V270" s="1" t="str">
        <f t="shared" si="14"/>
        <v>Low</v>
      </c>
    </row>
    <row r="271" spans="1:22" x14ac:dyDescent="0.35">
      <c r="A271" s="11">
        <v>270</v>
      </c>
      <c r="B271" s="10">
        <v>41983</v>
      </c>
      <c r="C271" s="11">
        <v>2014</v>
      </c>
      <c r="D271" s="12" t="s">
        <v>70</v>
      </c>
      <c r="E271" s="10">
        <v>41987</v>
      </c>
      <c r="F271" s="11">
        <f t="shared" si="12"/>
        <v>4</v>
      </c>
      <c r="G271" s="11" t="s">
        <v>42</v>
      </c>
      <c r="H271" s="11" t="s">
        <v>526</v>
      </c>
      <c r="I271" s="11" t="s">
        <v>34</v>
      </c>
      <c r="J271" s="11" t="s">
        <v>890</v>
      </c>
      <c r="K271" s="11" t="s">
        <v>527</v>
      </c>
      <c r="L271" s="11" t="s">
        <v>285</v>
      </c>
      <c r="M271" s="11" t="s">
        <v>106</v>
      </c>
      <c r="N271" s="11" t="s">
        <v>38</v>
      </c>
      <c r="O271" s="11" t="s">
        <v>120</v>
      </c>
      <c r="P271" s="11" t="s">
        <v>529</v>
      </c>
      <c r="Q271" s="13">
        <v>57.576000000000001</v>
      </c>
      <c r="R271" s="11">
        <v>3</v>
      </c>
      <c r="S271" s="16">
        <v>0.2</v>
      </c>
      <c r="T271" s="13">
        <v>21.591000000000001</v>
      </c>
      <c r="U271" s="1" t="str">
        <f t="shared" si="13"/>
        <v>Profit</v>
      </c>
      <c r="V271" s="1" t="str">
        <f t="shared" si="14"/>
        <v>Low</v>
      </c>
    </row>
    <row r="272" spans="1:22" x14ac:dyDescent="0.35">
      <c r="A272" s="11">
        <v>271</v>
      </c>
      <c r="B272" s="10">
        <v>42002</v>
      </c>
      <c r="C272" s="11">
        <v>2014</v>
      </c>
      <c r="D272" s="12" t="s">
        <v>70</v>
      </c>
      <c r="E272" s="10">
        <v>42007</v>
      </c>
      <c r="F272" s="11">
        <f t="shared" si="12"/>
        <v>5</v>
      </c>
      <c r="G272" s="11" t="s">
        <v>21</v>
      </c>
      <c r="H272" s="11" t="s">
        <v>530</v>
      </c>
      <c r="I272" s="11" t="s">
        <v>34</v>
      </c>
      <c r="J272" s="11" t="s">
        <v>890</v>
      </c>
      <c r="K272" s="11" t="s">
        <v>93</v>
      </c>
      <c r="L272" s="11" t="s">
        <v>36</v>
      </c>
      <c r="M272" s="11" t="s">
        <v>37</v>
      </c>
      <c r="N272" s="11" t="s">
        <v>38</v>
      </c>
      <c r="O272" s="11" t="s">
        <v>48</v>
      </c>
      <c r="P272" s="11" t="s">
        <v>531</v>
      </c>
      <c r="Q272" s="13">
        <v>725.84</v>
      </c>
      <c r="R272" s="11">
        <v>4</v>
      </c>
      <c r="S272" s="16">
        <v>0</v>
      </c>
      <c r="T272" s="13">
        <v>210.49359999999999</v>
      </c>
      <c r="U272" s="1" t="str">
        <f t="shared" si="13"/>
        <v>Profit</v>
      </c>
      <c r="V272" s="1" t="str">
        <f t="shared" si="14"/>
        <v>Medium</v>
      </c>
    </row>
    <row r="273" spans="1:22" x14ac:dyDescent="0.35">
      <c r="A273" s="11">
        <v>272</v>
      </c>
      <c r="B273" s="10">
        <v>41120</v>
      </c>
      <c r="C273" s="11">
        <v>2012</v>
      </c>
      <c r="D273" s="12" t="s">
        <v>102</v>
      </c>
      <c r="E273" s="10">
        <v>41121</v>
      </c>
      <c r="F273" s="11">
        <f t="shared" si="12"/>
        <v>1</v>
      </c>
      <c r="G273" s="11" t="s">
        <v>128</v>
      </c>
      <c r="H273" s="11" t="s">
        <v>335</v>
      </c>
      <c r="I273" s="11" t="s">
        <v>23</v>
      </c>
      <c r="J273" s="11" t="s">
        <v>890</v>
      </c>
      <c r="K273" s="11" t="s">
        <v>93</v>
      </c>
      <c r="L273" s="11" t="s">
        <v>36</v>
      </c>
      <c r="M273" s="11" t="s">
        <v>37</v>
      </c>
      <c r="N273" s="11" t="s">
        <v>55</v>
      </c>
      <c r="O273" s="11" t="s">
        <v>114</v>
      </c>
      <c r="P273" s="11" t="s">
        <v>532</v>
      </c>
      <c r="Q273" s="13">
        <v>209.93</v>
      </c>
      <c r="R273" s="11">
        <v>7</v>
      </c>
      <c r="S273" s="16">
        <v>0</v>
      </c>
      <c r="T273" s="13">
        <v>92.369200000000006</v>
      </c>
      <c r="U273" s="1" t="str">
        <f t="shared" si="13"/>
        <v>Profit</v>
      </c>
      <c r="V273" s="1" t="str">
        <f t="shared" si="14"/>
        <v>Low</v>
      </c>
    </row>
    <row r="274" spans="1:22" x14ac:dyDescent="0.35">
      <c r="A274" s="11">
        <v>273</v>
      </c>
      <c r="B274" s="10">
        <v>41120</v>
      </c>
      <c r="C274" s="11">
        <v>2012</v>
      </c>
      <c r="D274" s="12" t="s">
        <v>102</v>
      </c>
      <c r="E274" s="10">
        <v>41121</v>
      </c>
      <c r="F274" s="11">
        <f t="shared" si="12"/>
        <v>1</v>
      </c>
      <c r="G274" s="11" t="s">
        <v>128</v>
      </c>
      <c r="H274" s="11" t="s">
        <v>335</v>
      </c>
      <c r="I274" s="11" t="s">
        <v>23</v>
      </c>
      <c r="J274" s="11" t="s">
        <v>890</v>
      </c>
      <c r="K274" s="11" t="s">
        <v>93</v>
      </c>
      <c r="L274" s="11" t="s">
        <v>36</v>
      </c>
      <c r="M274" s="11" t="s">
        <v>37</v>
      </c>
      <c r="N274" s="11" t="s">
        <v>27</v>
      </c>
      <c r="O274" s="11" t="s">
        <v>51</v>
      </c>
      <c r="P274" s="11" t="s">
        <v>533</v>
      </c>
      <c r="Q274" s="13">
        <v>5.28</v>
      </c>
      <c r="R274" s="11">
        <v>3</v>
      </c>
      <c r="S274" s="16">
        <v>0</v>
      </c>
      <c r="T274" s="13">
        <v>2.3231999999999999</v>
      </c>
      <c r="U274" s="1" t="str">
        <f t="shared" si="13"/>
        <v>Profit</v>
      </c>
      <c r="V274" s="1" t="str">
        <f t="shared" si="14"/>
        <v>Low</v>
      </c>
    </row>
    <row r="275" spans="1:22" x14ac:dyDescent="0.35">
      <c r="A275" s="11">
        <v>274</v>
      </c>
      <c r="B275" s="10">
        <v>41120</v>
      </c>
      <c r="C275" s="11">
        <v>2012</v>
      </c>
      <c r="D275" s="12" t="s">
        <v>102</v>
      </c>
      <c r="E275" s="10">
        <v>41121</v>
      </c>
      <c r="F275" s="11">
        <f t="shared" si="12"/>
        <v>1</v>
      </c>
      <c r="G275" s="11" t="s">
        <v>128</v>
      </c>
      <c r="H275" s="11" t="s">
        <v>335</v>
      </c>
      <c r="I275" s="11" t="s">
        <v>23</v>
      </c>
      <c r="J275" s="11" t="s">
        <v>890</v>
      </c>
      <c r="K275" s="11" t="s">
        <v>93</v>
      </c>
      <c r="L275" s="11" t="s">
        <v>36</v>
      </c>
      <c r="M275" s="11" t="s">
        <v>37</v>
      </c>
      <c r="N275" s="11" t="s">
        <v>38</v>
      </c>
      <c r="O275" s="11" t="s">
        <v>58</v>
      </c>
      <c r="P275" s="11" t="s">
        <v>534</v>
      </c>
      <c r="Q275" s="13">
        <v>10.92</v>
      </c>
      <c r="R275" s="11">
        <v>3</v>
      </c>
      <c r="S275" s="16">
        <v>0.2</v>
      </c>
      <c r="T275" s="13">
        <v>4.0949999999999998</v>
      </c>
      <c r="U275" s="1" t="str">
        <f t="shared" si="13"/>
        <v>Profit</v>
      </c>
      <c r="V275" s="1" t="str">
        <f t="shared" si="14"/>
        <v>Low</v>
      </c>
    </row>
    <row r="276" spans="1:22" x14ac:dyDescent="0.35">
      <c r="A276" s="11">
        <v>275</v>
      </c>
      <c r="B276" s="10">
        <v>41899</v>
      </c>
      <c r="C276" s="11">
        <v>2014</v>
      </c>
      <c r="D276" s="12" t="s">
        <v>108</v>
      </c>
      <c r="E276" s="10">
        <v>41900</v>
      </c>
      <c r="F276" s="11">
        <f t="shared" si="12"/>
        <v>1</v>
      </c>
      <c r="G276" s="11" t="s">
        <v>128</v>
      </c>
      <c r="H276" s="11" t="s">
        <v>535</v>
      </c>
      <c r="I276" s="11" t="s">
        <v>34</v>
      </c>
      <c r="J276" s="11" t="s">
        <v>890</v>
      </c>
      <c r="K276" s="11" t="s">
        <v>536</v>
      </c>
      <c r="L276" s="11" t="s">
        <v>36</v>
      </c>
      <c r="M276" s="11" t="s">
        <v>37</v>
      </c>
      <c r="N276" s="11" t="s">
        <v>38</v>
      </c>
      <c r="O276" s="11" t="s">
        <v>68</v>
      </c>
      <c r="P276" s="11" t="s">
        <v>537</v>
      </c>
      <c r="Q276" s="13">
        <v>8.82</v>
      </c>
      <c r="R276" s="11">
        <v>2</v>
      </c>
      <c r="S276" s="16">
        <v>0</v>
      </c>
      <c r="T276" s="13">
        <v>4.0571999999999999</v>
      </c>
      <c r="U276" s="1" t="str">
        <f t="shared" si="13"/>
        <v>Profit</v>
      </c>
      <c r="V276" s="1" t="str">
        <f t="shared" si="14"/>
        <v>Low</v>
      </c>
    </row>
    <row r="277" spans="1:22" x14ac:dyDescent="0.35">
      <c r="A277" s="11">
        <v>276</v>
      </c>
      <c r="B277" s="10">
        <v>41899</v>
      </c>
      <c r="C277" s="11">
        <v>2014</v>
      </c>
      <c r="D277" s="12" t="s">
        <v>108</v>
      </c>
      <c r="E277" s="10">
        <v>41900</v>
      </c>
      <c r="F277" s="11">
        <f t="shared" si="12"/>
        <v>1</v>
      </c>
      <c r="G277" s="11" t="s">
        <v>128</v>
      </c>
      <c r="H277" s="11" t="s">
        <v>535</v>
      </c>
      <c r="I277" s="11" t="s">
        <v>34</v>
      </c>
      <c r="J277" s="11" t="s">
        <v>890</v>
      </c>
      <c r="K277" s="11" t="s">
        <v>536</v>
      </c>
      <c r="L277" s="11" t="s">
        <v>36</v>
      </c>
      <c r="M277" s="11" t="s">
        <v>37</v>
      </c>
      <c r="N277" s="11" t="s">
        <v>38</v>
      </c>
      <c r="O277" s="11" t="s">
        <v>53</v>
      </c>
      <c r="P277" s="11" t="s">
        <v>538</v>
      </c>
      <c r="Q277" s="13">
        <v>5.98</v>
      </c>
      <c r="R277" s="11">
        <v>1</v>
      </c>
      <c r="S277" s="16">
        <v>0</v>
      </c>
      <c r="T277" s="13">
        <v>1.5548</v>
      </c>
      <c r="U277" s="1" t="str">
        <f t="shared" si="13"/>
        <v>Profit</v>
      </c>
      <c r="V277" s="1" t="str">
        <f t="shared" si="14"/>
        <v>Low</v>
      </c>
    </row>
    <row r="278" spans="1:22" x14ac:dyDescent="0.35">
      <c r="A278" s="11">
        <v>277</v>
      </c>
      <c r="B278" s="10">
        <v>41926</v>
      </c>
      <c r="C278" s="11">
        <v>2014</v>
      </c>
      <c r="D278" s="12" t="s">
        <v>41</v>
      </c>
      <c r="E278" s="10">
        <v>41930</v>
      </c>
      <c r="F278" s="11">
        <f t="shared" si="12"/>
        <v>4</v>
      </c>
      <c r="G278" s="11" t="s">
        <v>42</v>
      </c>
      <c r="H278" s="11" t="s">
        <v>539</v>
      </c>
      <c r="I278" s="11" t="s">
        <v>34</v>
      </c>
      <c r="J278" s="11" t="s">
        <v>890</v>
      </c>
      <c r="K278" s="11" t="s">
        <v>104</v>
      </c>
      <c r="L278" s="11" t="s">
        <v>105</v>
      </c>
      <c r="M278" s="11" t="s">
        <v>106</v>
      </c>
      <c r="N278" s="11" t="s">
        <v>38</v>
      </c>
      <c r="O278" s="11" t="s">
        <v>68</v>
      </c>
      <c r="P278" s="11" t="s">
        <v>540</v>
      </c>
      <c r="Q278" s="13">
        <v>11.648</v>
      </c>
      <c r="R278" s="11">
        <v>2</v>
      </c>
      <c r="S278" s="16">
        <v>0.2</v>
      </c>
      <c r="T278" s="13">
        <v>4.0768000000000004</v>
      </c>
      <c r="U278" s="1" t="str">
        <f t="shared" si="13"/>
        <v>Profit</v>
      </c>
      <c r="V278" s="1" t="str">
        <f t="shared" si="14"/>
        <v>Low</v>
      </c>
    </row>
    <row r="279" spans="1:22" x14ac:dyDescent="0.35">
      <c r="A279" s="11">
        <v>278</v>
      </c>
      <c r="B279" s="10">
        <v>41926</v>
      </c>
      <c r="C279" s="11">
        <v>2014</v>
      </c>
      <c r="D279" s="12" t="s">
        <v>41</v>
      </c>
      <c r="E279" s="10">
        <v>41930</v>
      </c>
      <c r="F279" s="11">
        <f t="shared" si="12"/>
        <v>4</v>
      </c>
      <c r="G279" s="11" t="s">
        <v>42</v>
      </c>
      <c r="H279" s="11" t="s">
        <v>539</v>
      </c>
      <c r="I279" s="11" t="s">
        <v>34</v>
      </c>
      <c r="J279" s="11" t="s">
        <v>890</v>
      </c>
      <c r="K279" s="11" t="s">
        <v>104</v>
      </c>
      <c r="L279" s="11" t="s">
        <v>105</v>
      </c>
      <c r="M279" s="11" t="s">
        <v>106</v>
      </c>
      <c r="N279" s="11" t="s">
        <v>38</v>
      </c>
      <c r="O279" s="11" t="s">
        <v>68</v>
      </c>
      <c r="P279" s="11" t="s">
        <v>541</v>
      </c>
      <c r="Q279" s="13">
        <v>18.175999999999998</v>
      </c>
      <c r="R279" s="11">
        <v>4</v>
      </c>
      <c r="S279" s="16">
        <v>0.2</v>
      </c>
      <c r="T279" s="13">
        <v>5.9071999999999996</v>
      </c>
      <c r="U279" s="1" t="str">
        <f t="shared" si="13"/>
        <v>Profit</v>
      </c>
      <c r="V279" s="1" t="str">
        <f t="shared" si="14"/>
        <v>Low</v>
      </c>
    </row>
    <row r="280" spans="1:22" x14ac:dyDescent="0.35">
      <c r="A280" s="11">
        <v>279</v>
      </c>
      <c r="B280" s="10">
        <v>41926</v>
      </c>
      <c r="C280" s="11">
        <v>2014</v>
      </c>
      <c r="D280" s="12" t="s">
        <v>41</v>
      </c>
      <c r="E280" s="10">
        <v>41930</v>
      </c>
      <c r="F280" s="11">
        <f t="shared" si="12"/>
        <v>4</v>
      </c>
      <c r="G280" s="11" t="s">
        <v>42</v>
      </c>
      <c r="H280" s="11" t="s">
        <v>539</v>
      </c>
      <c r="I280" s="11" t="s">
        <v>34</v>
      </c>
      <c r="J280" s="11" t="s">
        <v>890</v>
      </c>
      <c r="K280" s="11" t="s">
        <v>104</v>
      </c>
      <c r="L280" s="11" t="s">
        <v>105</v>
      </c>
      <c r="M280" s="11" t="s">
        <v>106</v>
      </c>
      <c r="N280" s="11" t="s">
        <v>38</v>
      </c>
      <c r="O280" s="11" t="s">
        <v>48</v>
      </c>
      <c r="P280" s="11" t="s">
        <v>542</v>
      </c>
      <c r="Q280" s="13">
        <v>59.712000000000003</v>
      </c>
      <c r="R280" s="11">
        <v>6</v>
      </c>
      <c r="S280" s="16">
        <v>0.2</v>
      </c>
      <c r="T280" s="13">
        <v>5.9711999999999996</v>
      </c>
      <c r="U280" s="1" t="str">
        <f t="shared" si="13"/>
        <v>Profit</v>
      </c>
      <c r="V280" s="1" t="str">
        <f t="shared" si="14"/>
        <v>Low</v>
      </c>
    </row>
    <row r="281" spans="1:22" x14ac:dyDescent="0.35">
      <c r="A281" s="11">
        <v>280</v>
      </c>
      <c r="B281" s="10">
        <v>41926</v>
      </c>
      <c r="C281" s="11">
        <v>2014</v>
      </c>
      <c r="D281" s="12" t="s">
        <v>41</v>
      </c>
      <c r="E281" s="10">
        <v>41930</v>
      </c>
      <c r="F281" s="11">
        <f t="shared" si="12"/>
        <v>4</v>
      </c>
      <c r="G281" s="11" t="s">
        <v>42</v>
      </c>
      <c r="H281" s="11" t="s">
        <v>539</v>
      </c>
      <c r="I281" s="11" t="s">
        <v>34</v>
      </c>
      <c r="J281" s="11" t="s">
        <v>890</v>
      </c>
      <c r="K281" s="11" t="s">
        <v>104</v>
      </c>
      <c r="L281" s="11" t="s">
        <v>105</v>
      </c>
      <c r="M281" s="11" t="s">
        <v>106</v>
      </c>
      <c r="N281" s="11" t="s">
        <v>38</v>
      </c>
      <c r="O281" s="11" t="s">
        <v>39</v>
      </c>
      <c r="P281" s="11" t="s">
        <v>543</v>
      </c>
      <c r="Q281" s="13">
        <v>24.84</v>
      </c>
      <c r="R281" s="11">
        <v>3</v>
      </c>
      <c r="S281" s="16">
        <v>0.2</v>
      </c>
      <c r="T281" s="13">
        <v>8.6940000000000008</v>
      </c>
      <c r="U281" s="1" t="str">
        <f t="shared" si="13"/>
        <v>Profit</v>
      </c>
      <c r="V281" s="1" t="str">
        <f t="shared" si="14"/>
        <v>Low</v>
      </c>
    </row>
    <row r="282" spans="1:22" x14ac:dyDescent="0.35">
      <c r="A282" s="11">
        <v>281</v>
      </c>
      <c r="B282" s="10">
        <v>41178</v>
      </c>
      <c r="C282" s="11">
        <v>2012</v>
      </c>
      <c r="D282" s="12" t="s">
        <v>108</v>
      </c>
      <c r="E282" s="10">
        <v>41180</v>
      </c>
      <c r="F282" s="11">
        <f t="shared" si="12"/>
        <v>2</v>
      </c>
      <c r="G282" s="11" t="s">
        <v>21</v>
      </c>
      <c r="H282" s="11" t="s">
        <v>295</v>
      </c>
      <c r="I282" s="11" t="s">
        <v>23</v>
      </c>
      <c r="J282" s="11" t="s">
        <v>890</v>
      </c>
      <c r="K282" s="11" t="s">
        <v>126</v>
      </c>
      <c r="L282" s="11" t="s">
        <v>78</v>
      </c>
      <c r="M282" s="11" t="s">
        <v>79</v>
      </c>
      <c r="N282" s="11" t="s">
        <v>38</v>
      </c>
      <c r="O282" s="11" t="s">
        <v>58</v>
      </c>
      <c r="P282" s="11" t="s">
        <v>544</v>
      </c>
      <c r="Q282" s="13">
        <v>2.08</v>
      </c>
      <c r="R282" s="11">
        <v>5</v>
      </c>
      <c r="S282" s="16">
        <v>0.8</v>
      </c>
      <c r="T282" s="13">
        <v>-3.4319999999999999</v>
      </c>
      <c r="U282" s="1" t="str">
        <f t="shared" si="13"/>
        <v>Loss</v>
      </c>
      <c r="V282" s="1" t="str">
        <f t="shared" si="14"/>
        <v>Low</v>
      </c>
    </row>
    <row r="283" spans="1:22" x14ac:dyDescent="0.35">
      <c r="A283" s="11">
        <v>282</v>
      </c>
      <c r="B283" s="10">
        <v>41178</v>
      </c>
      <c r="C283" s="11">
        <v>2012</v>
      </c>
      <c r="D283" s="12" t="s">
        <v>108</v>
      </c>
      <c r="E283" s="10">
        <v>41180</v>
      </c>
      <c r="F283" s="11">
        <f t="shared" si="12"/>
        <v>2</v>
      </c>
      <c r="G283" s="11" t="s">
        <v>21</v>
      </c>
      <c r="H283" s="11" t="s">
        <v>295</v>
      </c>
      <c r="I283" s="11" t="s">
        <v>23</v>
      </c>
      <c r="J283" s="11" t="s">
        <v>890</v>
      </c>
      <c r="K283" s="11" t="s">
        <v>126</v>
      </c>
      <c r="L283" s="11" t="s">
        <v>78</v>
      </c>
      <c r="M283" s="11" t="s">
        <v>79</v>
      </c>
      <c r="N283" s="11" t="s">
        <v>55</v>
      </c>
      <c r="O283" s="11" t="s">
        <v>56</v>
      </c>
      <c r="P283" s="11" t="s">
        <v>545</v>
      </c>
      <c r="Q283" s="13">
        <v>1114.4000000000001</v>
      </c>
      <c r="R283" s="11">
        <v>7</v>
      </c>
      <c r="S283" s="16">
        <v>0.2</v>
      </c>
      <c r="T283" s="13">
        <v>376.11</v>
      </c>
      <c r="U283" s="1" t="str">
        <f t="shared" si="13"/>
        <v>Profit</v>
      </c>
      <c r="V283" s="1" t="str">
        <f t="shared" si="14"/>
        <v>High</v>
      </c>
    </row>
    <row r="284" spans="1:22" x14ac:dyDescent="0.35">
      <c r="A284" s="11">
        <v>283</v>
      </c>
      <c r="B284" s="10">
        <v>41215</v>
      </c>
      <c r="C284" s="11">
        <v>2012</v>
      </c>
      <c r="D284" s="12" t="s">
        <v>20</v>
      </c>
      <c r="E284" s="10">
        <v>41219</v>
      </c>
      <c r="F284" s="11">
        <f t="shared" si="12"/>
        <v>4</v>
      </c>
      <c r="G284" s="11" t="s">
        <v>42</v>
      </c>
      <c r="H284" s="11" t="s">
        <v>546</v>
      </c>
      <c r="I284" s="11" t="s">
        <v>23</v>
      </c>
      <c r="J284" s="11" t="s">
        <v>890</v>
      </c>
      <c r="K284" s="11" t="s">
        <v>35</v>
      </c>
      <c r="L284" s="11" t="s">
        <v>36</v>
      </c>
      <c r="M284" s="11" t="s">
        <v>37</v>
      </c>
      <c r="N284" s="11" t="s">
        <v>27</v>
      </c>
      <c r="O284" s="11" t="s">
        <v>46</v>
      </c>
      <c r="P284" s="11" t="s">
        <v>547</v>
      </c>
      <c r="Q284" s="13">
        <v>1038.8399999999999</v>
      </c>
      <c r="R284" s="11">
        <v>5</v>
      </c>
      <c r="S284" s="16">
        <v>0.2</v>
      </c>
      <c r="T284" s="13">
        <v>51.942</v>
      </c>
      <c r="U284" s="1" t="str">
        <f t="shared" si="13"/>
        <v>Profit</v>
      </c>
      <c r="V284" s="1" t="str">
        <f t="shared" si="14"/>
        <v>High</v>
      </c>
    </row>
    <row r="285" spans="1:22" x14ac:dyDescent="0.35">
      <c r="A285" s="11">
        <v>284</v>
      </c>
      <c r="B285" s="10">
        <v>41178</v>
      </c>
      <c r="C285" s="11">
        <v>2012</v>
      </c>
      <c r="D285" s="12" t="s">
        <v>108</v>
      </c>
      <c r="E285" s="10">
        <v>41184</v>
      </c>
      <c r="F285" s="11">
        <f t="shared" si="12"/>
        <v>6</v>
      </c>
      <c r="G285" s="11" t="s">
        <v>42</v>
      </c>
      <c r="H285" s="11" t="s">
        <v>116</v>
      </c>
      <c r="I285" s="11" t="s">
        <v>23</v>
      </c>
      <c r="J285" s="11" t="s">
        <v>890</v>
      </c>
      <c r="K285" s="11" t="s">
        <v>246</v>
      </c>
      <c r="L285" s="11" t="s">
        <v>247</v>
      </c>
      <c r="M285" s="11" t="s">
        <v>37</v>
      </c>
      <c r="N285" s="11" t="s">
        <v>38</v>
      </c>
      <c r="O285" s="11" t="s">
        <v>68</v>
      </c>
      <c r="P285" s="11" t="s">
        <v>127</v>
      </c>
      <c r="Q285" s="13">
        <v>141.76</v>
      </c>
      <c r="R285" s="11">
        <v>5</v>
      </c>
      <c r="S285" s="16">
        <v>0.2</v>
      </c>
      <c r="T285" s="13">
        <v>47.844000000000001</v>
      </c>
      <c r="U285" s="1" t="str">
        <f t="shared" si="13"/>
        <v>Profit</v>
      </c>
      <c r="V285" s="1" t="str">
        <f t="shared" si="14"/>
        <v>Low</v>
      </c>
    </row>
    <row r="286" spans="1:22" x14ac:dyDescent="0.35">
      <c r="A286" s="11">
        <v>285</v>
      </c>
      <c r="B286" s="10">
        <v>41178</v>
      </c>
      <c r="C286" s="11">
        <v>2012</v>
      </c>
      <c r="D286" s="12" t="s">
        <v>108</v>
      </c>
      <c r="E286" s="10">
        <v>41184</v>
      </c>
      <c r="F286" s="11">
        <f t="shared" si="12"/>
        <v>6</v>
      </c>
      <c r="G286" s="11" t="s">
        <v>42</v>
      </c>
      <c r="H286" s="11" t="s">
        <v>116</v>
      </c>
      <c r="I286" s="11" t="s">
        <v>23</v>
      </c>
      <c r="J286" s="11" t="s">
        <v>890</v>
      </c>
      <c r="K286" s="11" t="s">
        <v>246</v>
      </c>
      <c r="L286" s="11" t="s">
        <v>247</v>
      </c>
      <c r="M286" s="11" t="s">
        <v>37</v>
      </c>
      <c r="N286" s="11" t="s">
        <v>55</v>
      </c>
      <c r="O286" s="11" t="s">
        <v>114</v>
      </c>
      <c r="P286" s="11" t="s">
        <v>548</v>
      </c>
      <c r="Q286" s="13">
        <v>239.8</v>
      </c>
      <c r="R286" s="11">
        <v>5</v>
      </c>
      <c r="S286" s="16">
        <v>0.2</v>
      </c>
      <c r="T286" s="13">
        <v>47.96</v>
      </c>
      <c r="U286" s="1" t="str">
        <f t="shared" si="13"/>
        <v>Profit</v>
      </c>
      <c r="V286" s="1" t="str">
        <f t="shared" si="14"/>
        <v>Low</v>
      </c>
    </row>
    <row r="287" spans="1:22" x14ac:dyDescent="0.35">
      <c r="A287" s="11">
        <v>286</v>
      </c>
      <c r="B287" s="10">
        <v>41178</v>
      </c>
      <c r="C287" s="11">
        <v>2012</v>
      </c>
      <c r="D287" s="12" t="s">
        <v>108</v>
      </c>
      <c r="E287" s="10">
        <v>41184</v>
      </c>
      <c r="F287" s="11">
        <f t="shared" si="12"/>
        <v>6</v>
      </c>
      <c r="G287" s="11" t="s">
        <v>42</v>
      </c>
      <c r="H287" s="11" t="s">
        <v>116</v>
      </c>
      <c r="I287" s="11" t="s">
        <v>23</v>
      </c>
      <c r="J287" s="11" t="s">
        <v>890</v>
      </c>
      <c r="K287" s="11" t="s">
        <v>246</v>
      </c>
      <c r="L287" s="11" t="s">
        <v>247</v>
      </c>
      <c r="M287" s="11" t="s">
        <v>37</v>
      </c>
      <c r="N287" s="11" t="s">
        <v>38</v>
      </c>
      <c r="O287" s="11" t="s">
        <v>68</v>
      </c>
      <c r="P287" s="11" t="s">
        <v>549</v>
      </c>
      <c r="Q287" s="13">
        <v>31.103999999999999</v>
      </c>
      <c r="R287" s="11">
        <v>6</v>
      </c>
      <c r="S287" s="16">
        <v>0.2</v>
      </c>
      <c r="T287" s="13">
        <v>10.8864</v>
      </c>
      <c r="U287" s="1" t="str">
        <f t="shared" si="13"/>
        <v>Profit</v>
      </c>
      <c r="V287" s="1" t="str">
        <f t="shared" si="14"/>
        <v>Low</v>
      </c>
    </row>
    <row r="288" spans="1:22" x14ac:dyDescent="0.35">
      <c r="A288" s="11">
        <v>287</v>
      </c>
      <c r="B288" s="10">
        <v>41627</v>
      </c>
      <c r="C288" s="11">
        <v>2013</v>
      </c>
      <c r="D288" s="12" t="s">
        <v>70</v>
      </c>
      <c r="E288" s="10">
        <v>41629</v>
      </c>
      <c r="F288" s="11">
        <f t="shared" si="12"/>
        <v>2</v>
      </c>
      <c r="G288" s="11" t="s">
        <v>21</v>
      </c>
      <c r="H288" s="11" t="s">
        <v>550</v>
      </c>
      <c r="I288" s="11" t="s">
        <v>34</v>
      </c>
      <c r="J288" s="11" t="s">
        <v>890</v>
      </c>
      <c r="K288" s="11" t="s">
        <v>551</v>
      </c>
      <c r="L288" s="11" t="s">
        <v>45</v>
      </c>
      <c r="M288" s="11" t="s">
        <v>26</v>
      </c>
      <c r="N288" s="11" t="s">
        <v>38</v>
      </c>
      <c r="O288" s="11" t="s">
        <v>58</v>
      </c>
      <c r="P288" s="11" t="s">
        <v>552</v>
      </c>
      <c r="Q288" s="13">
        <v>254.05799999999999</v>
      </c>
      <c r="R288" s="11">
        <v>7</v>
      </c>
      <c r="S288" s="16">
        <v>0.7</v>
      </c>
      <c r="T288" s="13">
        <v>-169.37200000000001</v>
      </c>
      <c r="U288" s="1" t="str">
        <f t="shared" si="13"/>
        <v>Loss</v>
      </c>
      <c r="V288" s="1" t="str">
        <f t="shared" si="14"/>
        <v>Low</v>
      </c>
    </row>
    <row r="289" spans="1:22" x14ac:dyDescent="0.35">
      <c r="A289" s="11">
        <v>288</v>
      </c>
      <c r="B289" s="10">
        <v>41627</v>
      </c>
      <c r="C289" s="11">
        <v>2013</v>
      </c>
      <c r="D289" s="12" t="s">
        <v>70</v>
      </c>
      <c r="E289" s="10">
        <v>41629</v>
      </c>
      <c r="F289" s="11">
        <f t="shared" si="12"/>
        <v>2</v>
      </c>
      <c r="G289" s="11" t="s">
        <v>21</v>
      </c>
      <c r="H289" s="11" t="s">
        <v>550</v>
      </c>
      <c r="I289" s="11" t="s">
        <v>34</v>
      </c>
      <c r="J289" s="11" t="s">
        <v>890</v>
      </c>
      <c r="K289" s="11" t="s">
        <v>551</v>
      </c>
      <c r="L289" s="11" t="s">
        <v>45</v>
      </c>
      <c r="M289" s="11" t="s">
        <v>26</v>
      </c>
      <c r="N289" s="11" t="s">
        <v>38</v>
      </c>
      <c r="O289" s="11" t="s">
        <v>60</v>
      </c>
      <c r="P289" s="11" t="s">
        <v>389</v>
      </c>
      <c r="Q289" s="13">
        <v>194.52799999999999</v>
      </c>
      <c r="R289" s="11">
        <v>2</v>
      </c>
      <c r="S289" s="16">
        <v>0.2</v>
      </c>
      <c r="T289" s="13">
        <v>24.315999999999999</v>
      </c>
      <c r="U289" s="1" t="str">
        <f t="shared" si="13"/>
        <v>Profit</v>
      </c>
      <c r="V289" s="1" t="str">
        <f t="shared" si="14"/>
        <v>Low</v>
      </c>
    </row>
    <row r="290" spans="1:22" x14ac:dyDescent="0.35">
      <c r="A290" s="11">
        <v>289</v>
      </c>
      <c r="B290" s="10">
        <v>41627</v>
      </c>
      <c r="C290" s="11">
        <v>2013</v>
      </c>
      <c r="D290" s="12" t="s">
        <v>70</v>
      </c>
      <c r="E290" s="10">
        <v>41629</v>
      </c>
      <c r="F290" s="11">
        <f t="shared" si="12"/>
        <v>2</v>
      </c>
      <c r="G290" s="11" t="s">
        <v>21</v>
      </c>
      <c r="H290" s="11" t="s">
        <v>550</v>
      </c>
      <c r="I290" s="11" t="s">
        <v>34</v>
      </c>
      <c r="J290" s="11" t="s">
        <v>890</v>
      </c>
      <c r="K290" s="11" t="s">
        <v>551</v>
      </c>
      <c r="L290" s="11" t="s">
        <v>45</v>
      </c>
      <c r="M290" s="11" t="s">
        <v>26</v>
      </c>
      <c r="N290" s="11" t="s">
        <v>38</v>
      </c>
      <c r="O290" s="11" t="s">
        <v>324</v>
      </c>
      <c r="P290" s="11" t="s">
        <v>553</v>
      </c>
      <c r="Q290" s="13">
        <v>961.48</v>
      </c>
      <c r="R290" s="11">
        <v>5</v>
      </c>
      <c r="S290" s="16">
        <v>0.2</v>
      </c>
      <c r="T290" s="13">
        <v>-204.31450000000001</v>
      </c>
      <c r="U290" s="1" t="str">
        <f t="shared" si="13"/>
        <v>Loss</v>
      </c>
      <c r="V290" s="1" t="str">
        <f t="shared" si="14"/>
        <v>Medium</v>
      </c>
    </row>
    <row r="291" spans="1:22" x14ac:dyDescent="0.35">
      <c r="A291" s="11">
        <v>290</v>
      </c>
      <c r="B291" s="10">
        <v>41599</v>
      </c>
      <c r="C291" s="11">
        <v>2013</v>
      </c>
      <c r="D291" s="12" t="s">
        <v>20</v>
      </c>
      <c r="E291" s="10">
        <v>41603</v>
      </c>
      <c r="F291" s="11">
        <f t="shared" si="12"/>
        <v>4</v>
      </c>
      <c r="G291" s="11" t="s">
        <v>21</v>
      </c>
      <c r="H291" s="11" t="s">
        <v>554</v>
      </c>
      <c r="I291" s="11" t="s">
        <v>76</v>
      </c>
      <c r="J291" s="11" t="s">
        <v>890</v>
      </c>
      <c r="K291" s="11" t="s">
        <v>284</v>
      </c>
      <c r="L291" s="11" t="s">
        <v>285</v>
      </c>
      <c r="M291" s="11" t="s">
        <v>106</v>
      </c>
      <c r="N291" s="11" t="s">
        <v>38</v>
      </c>
      <c r="O291" s="11" t="s">
        <v>172</v>
      </c>
      <c r="P291" s="11" t="s">
        <v>555</v>
      </c>
      <c r="Q291" s="13">
        <v>19.096</v>
      </c>
      <c r="R291" s="11">
        <v>7</v>
      </c>
      <c r="S291" s="16">
        <v>0.2</v>
      </c>
      <c r="T291" s="13">
        <v>6.6836000000000002</v>
      </c>
      <c r="U291" s="1" t="str">
        <f t="shared" si="13"/>
        <v>Profit</v>
      </c>
      <c r="V291" s="1" t="str">
        <f t="shared" si="14"/>
        <v>Low</v>
      </c>
    </row>
    <row r="292" spans="1:22" x14ac:dyDescent="0.35">
      <c r="A292" s="11">
        <v>291</v>
      </c>
      <c r="B292" s="10">
        <v>41599</v>
      </c>
      <c r="C292" s="11">
        <v>2013</v>
      </c>
      <c r="D292" s="12" t="s">
        <v>20</v>
      </c>
      <c r="E292" s="10">
        <v>41603</v>
      </c>
      <c r="F292" s="11">
        <f t="shared" si="12"/>
        <v>4</v>
      </c>
      <c r="G292" s="11" t="s">
        <v>21</v>
      </c>
      <c r="H292" s="11" t="s">
        <v>554</v>
      </c>
      <c r="I292" s="11" t="s">
        <v>76</v>
      </c>
      <c r="J292" s="11" t="s">
        <v>890</v>
      </c>
      <c r="K292" s="11" t="s">
        <v>284</v>
      </c>
      <c r="L292" s="11" t="s">
        <v>285</v>
      </c>
      <c r="M292" s="11" t="s">
        <v>106</v>
      </c>
      <c r="N292" s="11" t="s">
        <v>38</v>
      </c>
      <c r="O292" s="11" t="s">
        <v>39</v>
      </c>
      <c r="P292" s="11" t="s">
        <v>556</v>
      </c>
      <c r="Q292" s="13">
        <v>18.495999999999999</v>
      </c>
      <c r="R292" s="11">
        <v>8</v>
      </c>
      <c r="S292" s="16">
        <v>0.2</v>
      </c>
      <c r="T292" s="13">
        <v>6.2423999999999999</v>
      </c>
      <c r="U292" s="1" t="str">
        <f t="shared" si="13"/>
        <v>Profit</v>
      </c>
      <c r="V292" s="1" t="str">
        <f t="shared" si="14"/>
        <v>Low</v>
      </c>
    </row>
    <row r="293" spans="1:22" x14ac:dyDescent="0.35">
      <c r="A293" s="11">
        <v>292</v>
      </c>
      <c r="B293" s="10">
        <v>41599</v>
      </c>
      <c r="C293" s="11">
        <v>2013</v>
      </c>
      <c r="D293" s="12" t="s">
        <v>20</v>
      </c>
      <c r="E293" s="10">
        <v>41603</v>
      </c>
      <c r="F293" s="11">
        <f t="shared" si="12"/>
        <v>4</v>
      </c>
      <c r="G293" s="11" t="s">
        <v>21</v>
      </c>
      <c r="H293" s="11" t="s">
        <v>554</v>
      </c>
      <c r="I293" s="11" t="s">
        <v>76</v>
      </c>
      <c r="J293" s="11" t="s">
        <v>890</v>
      </c>
      <c r="K293" s="11" t="s">
        <v>284</v>
      </c>
      <c r="L293" s="11" t="s">
        <v>285</v>
      </c>
      <c r="M293" s="11" t="s">
        <v>106</v>
      </c>
      <c r="N293" s="11" t="s">
        <v>55</v>
      </c>
      <c r="O293" s="11" t="s">
        <v>114</v>
      </c>
      <c r="P293" s="11" t="s">
        <v>557</v>
      </c>
      <c r="Q293" s="13">
        <v>255.98400000000001</v>
      </c>
      <c r="R293" s="11">
        <v>2</v>
      </c>
      <c r="S293" s="16">
        <v>0.2</v>
      </c>
      <c r="T293" s="13">
        <v>54.396599999999999</v>
      </c>
      <c r="U293" s="1" t="str">
        <f t="shared" si="13"/>
        <v>Profit</v>
      </c>
      <c r="V293" s="1" t="str">
        <f t="shared" si="14"/>
        <v>Low</v>
      </c>
    </row>
    <row r="294" spans="1:22" x14ac:dyDescent="0.35">
      <c r="A294" s="11">
        <v>293</v>
      </c>
      <c r="B294" s="10">
        <v>41599</v>
      </c>
      <c r="C294" s="11">
        <v>2013</v>
      </c>
      <c r="D294" s="12" t="s">
        <v>20</v>
      </c>
      <c r="E294" s="10">
        <v>41603</v>
      </c>
      <c r="F294" s="11">
        <f t="shared" si="12"/>
        <v>4</v>
      </c>
      <c r="G294" s="11" t="s">
        <v>21</v>
      </c>
      <c r="H294" s="11" t="s">
        <v>554</v>
      </c>
      <c r="I294" s="11" t="s">
        <v>76</v>
      </c>
      <c r="J294" s="11" t="s">
        <v>890</v>
      </c>
      <c r="K294" s="11" t="s">
        <v>284</v>
      </c>
      <c r="L294" s="11" t="s">
        <v>285</v>
      </c>
      <c r="M294" s="11" t="s">
        <v>106</v>
      </c>
      <c r="N294" s="11" t="s">
        <v>27</v>
      </c>
      <c r="O294" s="11" t="s">
        <v>28</v>
      </c>
      <c r="P294" s="11" t="s">
        <v>558</v>
      </c>
      <c r="Q294" s="13">
        <v>86.97</v>
      </c>
      <c r="R294" s="11">
        <v>3</v>
      </c>
      <c r="S294" s="16">
        <v>0.5</v>
      </c>
      <c r="T294" s="13">
        <v>-48.703200000000002</v>
      </c>
      <c r="U294" s="1" t="str">
        <f t="shared" si="13"/>
        <v>Loss</v>
      </c>
      <c r="V294" s="1" t="str">
        <f t="shared" si="14"/>
        <v>Low</v>
      </c>
    </row>
    <row r="295" spans="1:22" x14ac:dyDescent="0.35">
      <c r="A295" s="11">
        <v>294</v>
      </c>
      <c r="B295" s="10">
        <v>40903</v>
      </c>
      <c r="C295" s="11">
        <v>2011</v>
      </c>
      <c r="D295" s="12" t="s">
        <v>70</v>
      </c>
      <c r="E295" s="10">
        <v>40905</v>
      </c>
      <c r="F295" s="11">
        <f t="shared" si="12"/>
        <v>2</v>
      </c>
      <c r="G295" s="11" t="s">
        <v>128</v>
      </c>
      <c r="H295" s="11" t="s">
        <v>559</v>
      </c>
      <c r="I295" s="11" t="s">
        <v>34</v>
      </c>
      <c r="J295" s="11" t="s">
        <v>890</v>
      </c>
      <c r="K295" s="11" t="s">
        <v>560</v>
      </c>
      <c r="L295" s="11" t="s">
        <v>264</v>
      </c>
      <c r="M295" s="11" t="s">
        <v>37</v>
      </c>
      <c r="N295" s="11" t="s">
        <v>27</v>
      </c>
      <c r="O295" s="11" t="s">
        <v>51</v>
      </c>
      <c r="P295" s="11" t="s">
        <v>561</v>
      </c>
      <c r="Q295" s="13">
        <v>300.416</v>
      </c>
      <c r="R295" s="11">
        <v>8</v>
      </c>
      <c r="S295" s="16">
        <v>0.2</v>
      </c>
      <c r="T295" s="13">
        <v>78.859200000000001</v>
      </c>
      <c r="U295" s="1" t="str">
        <f t="shared" si="13"/>
        <v>Profit</v>
      </c>
      <c r="V295" s="1" t="str">
        <f t="shared" si="14"/>
        <v>Low</v>
      </c>
    </row>
    <row r="296" spans="1:22" x14ac:dyDescent="0.35">
      <c r="A296" s="11">
        <v>295</v>
      </c>
      <c r="B296" s="10">
        <v>40903</v>
      </c>
      <c r="C296" s="11">
        <v>2011</v>
      </c>
      <c r="D296" s="12" t="s">
        <v>70</v>
      </c>
      <c r="E296" s="10">
        <v>40905</v>
      </c>
      <c r="F296" s="11">
        <f t="shared" si="12"/>
        <v>2</v>
      </c>
      <c r="G296" s="11" t="s">
        <v>128</v>
      </c>
      <c r="H296" s="11" t="s">
        <v>559</v>
      </c>
      <c r="I296" s="11" t="s">
        <v>34</v>
      </c>
      <c r="J296" s="11" t="s">
        <v>890</v>
      </c>
      <c r="K296" s="11" t="s">
        <v>560</v>
      </c>
      <c r="L296" s="11" t="s">
        <v>264</v>
      </c>
      <c r="M296" s="11" t="s">
        <v>37</v>
      </c>
      <c r="N296" s="11" t="s">
        <v>27</v>
      </c>
      <c r="O296" s="11" t="s">
        <v>30</v>
      </c>
      <c r="P296" s="11" t="s">
        <v>562</v>
      </c>
      <c r="Q296" s="13">
        <v>230.352</v>
      </c>
      <c r="R296" s="11">
        <v>3</v>
      </c>
      <c r="S296" s="16">
        <v>0.2</v>
      </c>
      <c r="T296" s="13">
        <v>20.155799999999999</v>
      </c>
      <c r="U296" s="1" t="str">
        <f t="shared" si="13"/>
        <v>Profit</v>
      </c>
      <c r="V296" s="1" t="str">
        <f t="shared" si="14"/>
        <v>Low</v>
      </c>
    </row>
    <row r="297" spans="1:22" x14ac:dyDescent="0.35">
      <c r="A297" s="11">
        <v>296</v>
      </c>
      <c r="B297" s="10">
        <v>40903</v>
      </c>
      <c r="C297" s="11">
        <v>2011</v>
      </c>
      <c r="D297" s="12" t="s">
        <v>70</v>
      </c>
      <c r="E297" s="10">
        <v>40905</v>
      </c>
      <c r="F297" s="11">
        <f t="shared" si="12"/>
        <v>2</v>
      </c>
      <c r="G297" s="11" t="s">
        <v>128</v>
      </c>
      <c r="H297" s="11" t="s">
        <v>559</v>
      </c>
      <c r="I297" s="11" t="s">
        <v>34</v>
      </c>
      <c r="J297" s="11" t="s">
        <v>890</v>
      </c>
      <c r="K297" s="11" t="s">
        <v>560</v>
      </c>
      <c r="L297" s="11" t="s">
        <v>264</v>
      </c>
      <c r="M297" s="11" t="s">
        <v>37</v>
      </c>
      <c r="N297" s="11" t="s">
        <v>27</v>
      </c>
      <c r="O297" s="11" t="s">
        <v>51</v>
      </c>
      <c r="P297" s="11" t="s">
        <v>563</v>
      </c>
      <c r="Q297" s="13">
        <v>218.352</v>
      </c>
      <c r="R297" s="11">
        <v>3</v>
      </c>
      <c r="S297" s="16">
        <v>0.2</v>
      </c>
      <c r="T297" s="13">
        <v>-24.564599999999999</v>
      </c>
      <c r="U297" s="1" t="str">
        <f t="shared" si="13"/>
        <v>Loss</v>
      </c>
      <c r="V297" s="1" t="str">
        <f t="shared" si="14"/>
        <v>Low</v>
      </c>
    </row>
    <row r="298" spans="1:22" x14ac:dyDescent="0.35">
      <c r="A298" s="11">
        <v>297</v>
      </c>
      <c r="B298" s="10">
        <v>40903</v>
      </c>
      <c r="C298" s="11">
        <v>2011</v>
      </c>
      <c r="D298" s="12" t="s">
        <v>70</v>
      </c>
      <c r="E298" s="10">
        <v>40905</v>
      </c>
      <c r="F298" s="11">
        <f t="shared" si="12"/>
        <v>2</v>
      </c>
      <c r="G298" s="11" t="s">
        <v>128</v>
      </c>
      <c r="H298" s="11" t="s">
        <v>559</v>
      </c>
      <c r="I298" s="11" t="s">
        <v>34</v>
      </c>
      <c r="J298" s="11" t="s">
        <v>890</v>
      </c>
      <c r="K298" s="11" t="s">
        <v>560</v>
      </c>
      <c r="L298" s="11" t="s">
        <v>264</v>
      </c>
      <c r="M298" s="11" t="s">
        <v>37</v>
      </c>
      <c r="N298" s="11" t="s">
        <v>38</v>
      </c>
      <c r="O298" s="11" t="s">
        <v>58</v>
      </c>
      <c r="P298" s="11" t="s">
        <v>564</v>
      </c>
      <c r="Q298" s="13">
        <v>78.599999999999994</v>
      </c>
      <c r="R298" s="11">
        <v>5</v>
      </c>
      <c r="S298" s="16">
        <v>0.7</v>
      </c>
      <c r="T298" s="13">
        <v>-62.88</v>
      </c>
      <c r="U298" s="1" t="str">
        <f t="shared" si="13"/>
        <v>Loss</v>
      </c>
      <c r="V298" s="1" t="str">
        <f t="shared" si="14"/>
        <v>Low</v>
      </c>
    </row>
    <row r="299" spans="1:22" x14ac:dyDescent="0.35">
      <c r="A299" s="11">
        <v>298</v>
      </c>
      <c r="B299" s="10">
        <v>40903</v>
      </c>
      <c r="C299" s="11">
        <v>2011</v>
      </c>
      <c r="D299" s="12" t="s">
        <v>70</v>
      </c>
      <c r="E299" s="10">
        <v>40905</v>
      </c>
      <c r="F299" s="11">
        <f t="shared" si="12"/>
        <v>2</v>
      </c>
      <c r="G299" s="11" t="s">
        <v>128</v>
      </c>
      <c r="H299" s="11" t="s">
        <v>559</v>
      </c>
      <c r="I299" s="11" t="s">
        <v>34</v>
      </c>
      <c r="J299" s="11" t="s">
        <v>890</v>
      </c>
      <c r="K299" s="11" t="s">
        <v>560</v>
      </c>
      <c r="L299" s="11" t="s">
        <v>264</v>
      </c>
      <c r="M299" s="11" t="s">
        <v>37</v>
      </c>
      <c r="N299" s="11" t="s">
        <v>38</v>
      </c>
      <c r="O299" s="11" t="s">
        <v>172</v>
      </c>
      <c r="P299" s="11" t="s">
        <v>565</v>
      </c>
      <c r="Q299" s="13">
        <v>27.552</v>
      </c>
      <c r="R299" s="11">
        <v>3</v>
      </c>
      <c r="S299" s="16">
        <v>0.2</v>
      </c>
      <c r="T299" s="13">
        <v>9.2988</v>
      </c>
      <c r="U299" s="1" t="str">
        <f t="shared" si="13"/>
        <v>Profit</v>
      </c>
      <c r="V299" s="1" t="str">
        <f t="shared" si="14"/>
        <v>Low</v>
      </c>
    </row>
    <row r="300" spans="1:22" x14ac:dyDescent="0.35">
      <c r="A300" s="11">
        <v>299</v>
      </c>
      <c r="B300" s="10">
        <v>41576</v>
      </c>
      <c r="C300" s="11">
        <v>2013</v>
      </c>
      <c r="D300" s="12" t="s">
        <v>41</v>
      </c>
      <c r="E300" s="10">
        <v>41582</v>
      </c>
      <c r="F300" s="11">
        <f t="shared" si="12"/>
        <v>6</v>
      </c>
      <c r="G300" s="11" t="s">
        <v>42</v>
      </c>
      <c r="H300" s="11" t="s">
        <v>326</v>
      </c>
      <c r="I300" s="11" t="s">
        <v>34</v>
      </c>
      <c r="J300" s="11" t="s">
        <v>890</v>
      </c>
      <c r="K300" s="11" t="s">
        <v>566</v>
      </c>
      <c r="L300" s="11" t="s">
        <v>425</v>
      </c>
      <c r="M300" s="11" t="s">
        <v>106</v>
      </c>
      <c r="N300" s="11" t="s">
        <v>38</v>
      </c>
      <c r="O300" s="11" t="s">
        <v>68</v>
      </c>
      <c r="P300" s="11" t="s">
        <v>567</v>
      </c>
      <c r="Q300" s="13">
        <v>32.4</v>
      </c>
      <c r="R300" s="11">
        <v>5</v>
      </c>
      <c r="S300" s="16">
        <v>0</v>
      </c>
      <c r="T300" s="13">
        <v>15.552</v>
      </c>
      <c r="U300" s="1" t="str">
        <f t="shared" si="13"/>
        <v>Profit</v>
      </c>
      <c r="V300" s="1" t="str">
        <f t="shared" si="14"/>
        <v>Low</v>
      </c>
    </row>
    <row r="301" spans="1:22" x14ac:dyDescent="0.35">
      <c r="A301" s="11">
        <v>300</v>
      </c>
      <c r="B301" s="10">
        <v>41576</v>
      </c>
      <c r="C301" s="11">
        <v>2013</v>
      </c>
      <c r="D301" s="12" t="s">
        <v>41</v>
      </c>
      <c r="E301" s="10">
        <v>41582</v>
      </c>
      <c r="F301" s="11">
        <f t="shared" si="12"/>
        <v>6</v>
      </c>
      <c r="G301" s="11" t="s">
        <v>42</v>
      </c>
      <c r="H301" s="11" t="s">
        <v>326</v>
      </c>
      <c r="I301" s="11" t="s">
        <v>34</v>
      </c>
      <c r="J301" s="11" t="s">
        <v>890</v>
      </c>
      <c r="K301" s="11" t="s">
        <v>566</v>
      </c>
      <c r="L301" s="11" t="s">
        <v>425</v>
      </c>
      <c r="M301" s="11" t="s">
        <v>106</v>
      </c>
      <c r="N301" s="11" t="s">
        <v>38</v>
      </c>
      <c r="O301" s="11" t="s">
        <v>48</v>
      </c>
      <c r="P301" s="11" t="s">
        <v>568</v>
      </c>
      <c r="Q301" s="13">
        <v>1082.48</v>
      </c>
      <c r="R301" s="11">
        <v>8</v>
      </c>
      <c r="S301" s="16">
        <v>0</v>
      </c>
      <c r="T301" s="13">
        <v>10.8248</v>
      </c>
      <c r="U301" s="1" t="str">
        <f t="shared" si="13"/>
        <v>Profit</v>
      </c>
      <c r="V301" s="1" t="str">
        <f t="shared" si="14"/>
        <v>High</v>
      </c>
    </row>
    <row r="302" spans="1:22" x14ac:dyDescent="0.35">
      <c r="A302" s="11">
        <v>301</v>
      </c>
      <c r="B302" s="10">
        <v>41576</v>
      </c>
      <c r="C302" s="11">
        <v>2013</v>
      </c>
      <c r="D302" s="12" t="s">
        <v>41</v>
      </c>
      <c r="E302" s="10">
        <v>41582</v>
      </c>
      <c r="F302" s="11">
        <f t="shared" si="12"/>
        <v>6</v>
      </c>
      <c r="G302" s="11" t="s">
        <v>42</v>
      </c>
      <c r="H302" s="11" t="s">
        <v>326</v>
      </c>
      <c r="I302" s="11" t="s">
        <v>34</v>
      </c>
      <c r="J302" s="11" t="s">
        <v>890</v>
      </c>
      <c r="K302" s="11" t="s">
        <v>566</v>
      </c>
      <c r="L302" s="11" t="s">
        <v>425</v>
      </c>
      <c r="M302" s="11" t="s">
        <v>106</v>
      </c>
      <c r="N302" s="11" t="s">
        <v>38</v>
      </c>
      <c r="O302" s="11" t="s">
        <v>68</v>
      </c>
      <c r="P302" s="11" t="s">
        <v>569</v>
      </c>
      <c r="Q302" s="13">
        <v>56.91</v>
      </c>
      <c r="R302" s="11">
        <v>3</v>
      </c>
      <c r="S302" s="16">
        <v>0</v>
      </c>
      <c r="T302" s="13">
        <v>27.316800000000001</v>
      </c>
      <c r="U302" s="1" t="str">
        <f t="shared" si="13"/>
        <v>Profit</v>
      </c>
      <c r="V302" s="1" t="str">
        <f t="shared" si="14"/>
        <v>Low</v>
      </c>
    </row>
    <row r="303" spans="1:22" x14ac:dyDescent="0.35">
      <c r="A303" s="11">
        <v>302</v>
      </c>
      <c r="B303" s="10">
        <v>41576</v>
      </c>
      <c r="C303" s="11">
        <v>2013</v>
      </c>
      <c r="D303" s="12" t="s">
        <v>41</v>
      </c>
      <c r="E303" s="10">
        <v>41582</v>
      </c>
      <c r="F303" s="11">
        <f t="shared" si="12"/>
        <v>6</v>
      </c>
      <c r="G303" s="11" t="s">
        <v>42</v>
      </c>
      <c r="H303" s="11" t="s">
        <v>326</v>
      </c>
      <c r="I303" s="11" t="s">
        <v>34</v>
      </c>
      <c r="J303" s="11" t="s">
        <v>890</v>
      </c>
      <c r="K303" s="11" t="s">
        <v>566</v>
      </c>
      <c r="L303" s="11" t="s">
        <v>425</v>
      </c>
      <c r="M303" s="11" t="s">
        <v>106</v>
      </c>
      <c r="N303" s="11" t="s">
        <v>27</v>
      </c>
      <c r="O303" s="11" t="s">
        <v>51</v>
      </c>
      <c r="P303" s="11" t="s">
        <v>570</v>
      </c>
      <c r="Q303" s="13">
        <v>77.599999999999994</v>
      </c>
      <c r="R303" s="11">
        <v>4</v>
      </c>
      <c r="S303" s="16">
        <v>0</v>
      </c>
      <c r="T303" s="13">
        <v>38.024000000000001</v>
      </c>
      <c r="U303" s="1" t="str">
        <f t="shared" si="13"/>
        <v>Profit</v>
      </c>
      <c r="V303" s="1" t="str">
        <f t="shared" si="14"/>
        <v>Low</v>
      </c>
    </row>
    <row r="304" spans="1:22" x14ac:dyDescent="0.35">
      <c r="A304" s="11">
        <v>303</v>
      </c>
      <c r="B304" s="10">
        <v>41576</v>
      </c>
      <c r="C304" s="11">
        <v>2013</v>
      </c>
      <c r="D304" s="12" t="s">
        <v>41</v>
      </c>
      <c r="E304" s="10">
        <v>41582</v>
      </c>
      <c r="F304" s="11">
        <f t="shared" si="12"/>
        <v>6</v>
      </c>
      <c r="G304" s="11" t="s">
        <v>42</v>
      </c>
      <c r="H304" s="11" t="s">
        <v>326</v>
      </c>
      <c r="I304" s="11" t="s">
        <v>34</v>
      </c>
      <c r="J304" s="11" t="s">
        <v>890</v>
      </c>
      <c r="K304" s="11" t="s">
        <v>566</v>
      </c>
      <c r="L304" s="11" t="s">
        <v>425</v>
      </c>
      <c r="M304" s="11" t="s">
        <v>106</v>
      </c>
      <c r="N304" s="11" t="s">
        <v>38</v>
      </c>
      <c r="O304" s="11" t="s">
        <v>58</v>
      </c>
      <c r="P304" s="11" t="s">
        <v>571</v>
      </c>
      <c r="Q304" s="13">
        <v>14.28</v>
      </c>
      <c r="R304" s="11">
        <v>1</v>
      </c>
      <c r="S304" s="16">
        <v>0</v>
      </c>
      <c r="T304" s="13">
        <v>6.5688000000000004</v>
      </c>
      <c r="U304" s="1" t="str">
        <f t="shared" si="13"/>
        <v>Profit</v>
      </c>
      <c r="V304" s="1" t="str">
        <f t="shared" si="14"/>
        <v>Low</v>
      </c>
    </row>
    <row r="305" spans="1:22" x14ac:dyDescent="0.35">
      <c r="A305" s="11">
        <v>304</v>
      </c>
      <c r="B305" s="10">
        <v>41963</v>
      </c>
      <c r="C305" s="11">
        <v>2014</v>
      </c>
      <c r="D305" s="12" t="s">
        <v>20</v>
      </c>
      <c r="E305" s="10">
        <v>41967</v>
      </c>
      <c r="F305" s="11">
        <f t="shared" si="12"/>
        <v>4</v>
      </c>
      <c r="G305" s="11" t="s">
        <v>42</v>
      </c>
      <c r="H305" s="11" t="s">
        <v>459</v>
      </c>
      <c r="I305" s="11" t="s">
        <v>23</v>
      </c>
      <c r="J305" s="11" t="s">
        <v>890</v>
      </c>
      <c r="K305" s="11" t="s">
        <v>189</v>
      </c>
      <c r="L305" s="11" t="s">
        <v>140</v>
      </c>
      <c r="M305" s="11" t="s">
        <v>79</v>
      </c>
      <c r="N305" s="11" t="s">
        <v>27</v>
      </c>
      <c r="O305" s="11" t="s">
        <v>46</v>
      </c>
      <c r="P305" s="11" t="s">
        <v>572</v>
      </c>
      <c r="Q305" s="13">
        <v>219.07499999999999</v>
      </c>
      <c r="R305" s="11">
        <v>3</v>
      </c>
      <c r="S305" s="16">
        <v>0.5</v>
      </c>
      <c r="T305" s="13">
        <v>-131.44499999999999</v>
      </c>
      <c r="U305" s="1" t="str">
        <f t="shared" si="13"/>
        <v>Loss</v>
      </c>
      <c r="V305" s="1" t="str">
        <f t="shared" si="14"/>
        <v>Low</v>
      </c>
    </row>
    <row r="306" spans="1:22" x14ac:dyDescent="0.35">
      <c r="A306" s="11">
        <v>305</v>
      </c>
      <c r="B306" s="10">
        <v>41033</v>
      </c>
      <c r="C306" s="11">
        <v>2012</v>
      </c>
      <c r="D306" s="12" t="s">
        <v>86</v>
      </c>
      <c r="E306" s="10">
        <v>41038</v>
      </c>
      <c r="F306" s="11">
        <f t="shared" si="12"/>
        <v>5</v>
      </c>
      <c r="G306" s="11" t="s">
        <v>21</v>
      </c>
      <c r="H306" s="11" t="s">
        <v>573</v>
      </c>
      <c r="I306" s="11" t="s">
        <v>34</v>
      </c>
      <c r="J306" s="11" t="s">
        <v>890</v>
      </c>
      <c r="K306" s="11" t="s">
        <v>170</v>
      </c>
      <c r="L306" s="11" t="s">
        <v>171</v>
      </c>
      <c r="M306" s="11" t="s">
        <v>106</v>
      </c>
      <c r="N306" s="11" t="s">
        <v>27</v>
      </c>
      <c r="O306" s="11" t="s">
        <v>51</v>
      </c>
      <c r="P306" s="11" t="s">
        <v>574</v>
      </c>
      <c r="Q306" s="13">
        <v>26.8</v>
      </c>
      <c r="R306" s="11">
        <v>2</v>
      </c>
      <c r="S306" s="16">
        <v>0</v>
      </c>
      <c r="T306" s="13">
        <v>12.864000000000001</v>
      </c>
      <c r="U306" s="1" t="str">
        <f t="shared" si="13"/>
        <v>Profit</v>
      </c>
      <c r="V306" s="1" t="str">
        <f t="shared" si="14"/>
        <v>Low</v>
      </c>
    </row>
    <row r="307" spans="1:22" x14ac:dyDescent="0.35">
      <c r="A307" s="11">
        <v>306</v>
      </c>
      <c r="B307" s="10">
        <v>40907</v>
      </c>
      <c r="C307" s="11">
        <v>2011</v>
      </c>
      <c r="D307" s="12" t="s">
        <v>70</v>
      </c>
      <c r="E307" s="10">
        <v>40912</v>
      </c>
      <c r="F307" s="11">
        <f t="shared" si="12"/>
        <v>5</v>
      </c>
      <c r="G307" s="11" t="s">
        <v>42</v>
      </c>
      <c r="H307" s="11" t="s">
        <v>210</v>
      </c>
      <c r="I307" s="11" t="s">
        <v>34</v>
      </c>
      <c r="J307" s="11" t="s">
        <v>890</v>
      </c>
      <c r="K307" s="11" t="s">
        <v>575</v>
      </c>
      <c r="L307" s="11" t="s">
        <v>155</v>
      </c>
      <c r="M307" s="11" t="s">
        <v>79</v>
      </c>
      <c r="N307" s="11" t="s">
        <v>38</v>
      </c>
      <c r="O307" s="11" t="s">
        <v>53</v>
      </c>
      <c r="P307" s="11" t="s">
        <v>576</v>
      </c>
      <c r="Q307" s="13">
        <v>9.84</v>
      </c>
      <c r="R307" s="11">
        <v>3</v>
      </c>
      <c r="S307" s="16">
        <v>0</v>
      </c>
      <c r="T307" s="13">
        <v>2.8536000000000001</v>
      </c>
      <c r="U307" s="1" t="str">
        <f t="shared" si="13"/>
        <v>Profit</v>
      </c>
      <c r="V307" s="1" t="str">
        <f t="shared" si="14"/>
        <v>Low</v>
      </c>
    </row>
    <row r="308" spans="1:22" x14ac:dyDescent="0.35">
      <c r="A308" s="11">
        <v>307</v>
      </c>
      <c r="B308" s="10">
        <v>40695</v>
      </c>
      <c r="C308" s="11">
        <v>2011</v>
      </c>
      <c r="D308" s="12" t="s">
        <v>32</v>
      </c>
      <c r="E308" s="10">
        <v>40700</v>
      </c>
      <c r="F308" s="11">
        <f t="shared" si="12"/>
        <v>5</v>
      </c>
      <c r="G308" s="11" t="s">
        <v>42</v>
      </c>
      <c r="H308" s="11" t="s">
        <v>577</v>
      </c>
      <c r="I308" s="11" t="s">
        <v>76</v>
      </c>
      <c r="J308" s="11" t="s">
        <v>890</v>
      </c>
      <c r="K308" s="11" t="s">
        <v>578</v>
      </c>
      <c r="L308" s="11" t="s">
        <v>425</v>
      </c>
      <c r="M308" s="11" t="s">
        <v>106</v>
      </c>
      <c r="N308" s="11" t="s">
        <v>38</v>
      </c>
      <c r="O308" s="11" t="s">
        <v>58</v>
      </c>
      <c r="P308" s="11" t="s">
        <v>579</v>
      </c>
      <c r="Q308" s="13">
        <v>45.48</v>
      </c>
      <c r="R308" s="11">
        <v>3</v>
      </c>
      <c r="S308" s="16">
        <v>0</v>
      </c>
      <c r="T308" s="13">
        <v>20.9208</v>
      </c>
      <c r="U308" s="1" t="str">
        <f t="shared" si="13"/>
        <v>Profit</v>
      </c>
      <c r="V308" s="1" t="str">
        <f t="shared" si="14"/>
        <v>Low</v>
      </c>
    </row>
    <row r="309" spans="1:22" x14ac:dyDescent="0.35">
      <c r="A309" s="11">
        <v>308</v>
      </c>
      <c r="B309" s="10">
        <v>40695</v>
      </c>
      <c r="C309" s="11">
        <v>2011</v>
      </c>
      <c r="D309" s="12" t="s">
        <v>32</v>
      </c>
      <c r="E309" s="10">
        <v>40700</v>
      </c>
      <c r="F309" s="11">
        <f t="shared" si="12"/>
        <v>5</v>
      </c>
      <c r="G309" s="11" t="s">
        <v>42</v>
      </c>
      <c r="H309" s="11" t="s">
        <v>577</v>
      </c>
      <c r="I309" s="11" t="s">
        <v>76</v>
      </c>
      <c r="J309" s="11" t="s">
        <v>890</v>
      </c>
      <c r="K309" s="11" t="s">
        <v>578</v>
      </c>
      <c r="L309" s="11" t="s">
        <v>425</v>
      </c>
      <c r="M309" s="11" t="s">
        <v>106</v>
      </c>
      <c r="N309" s="11" t="s">
        <v>38</v>
      </c>
      <c r="O309" s="11" t="s">
        <v>53</v>
      </c>
      <c r="P309" s="11" t="s">
        <v>580</v>
      </c>
      <c r="Q309" s="13">
        <v>289.2</v>
      </c>
      <c r="R309" s="11">
        <v>6</v>
      </c>
      <c r="S309" s="16">
        <v>0</v>
      </c>
      <c r="T309" s="13">
        <v>83.867999999999995</v>
      </c>
      <c r="U309" s="1" t="str">
        <f t="shared" si="13"/>
        <v>Profit</v>
      </c>
      <c r="V309" s="1" t="str">
        <f t="shared" si="14"/>
        <v>Low</v>
      </c>
    </row>
    <row r="310" spans="1:22" x14ac:dyDescent="0.35">
      <c r="A310" s="11">
        <v>309</v>
      </c>
      <c r="B310" s="10">
        <v>41745</v>
      </c>
      <c r="C310" s="11">
        <v>2014</v>
      </c>
      <c r="D310" s="12" t="s">
        <v>64</v>
      </c>
      <c r="E310" s="10">
        <v>41747</v>
      </c>
      <c r="F310" s="11">
        <f t="shared" si="12"/>
        <v>2</v>
      </c>
      <c r="G310" s="11" t="s">
        <v>128</v>
      </c>
      <c r="H310" s="11" t="s">
        <v>581</v>
      </c>
      <c r="I310" s="11" t="s">
        <v>23</v>
      </c>
      <c r="J310" s="11" t="s">
        <v>890</v>
      </c>
      <c r="K310" s="11" t="s">
        <v>582</v>
      </c>
      <c r="L310" s="11" t="s">
        <v>198</v>
      </c>
      <c r="M310" s="11" t="s">
        <v>26</v>
      </c>
      <c r="N310" s="11" t="s">
        <v>38</v>
      </c>
      <c r="O310" s="11" t="s">
        <v>53</v>
      </c>
      <c r="P310" s="11" t="s">
        <v>583</v>
      </c>
      <c r="Q310" s="13">
        <v>4.8899999999999997</v>
      </c>
      <c r="R310" s="11">
        <v>1</v>
      </c>
      <c r="S310" s="16">
        <v>0</v>
      </c>
      <c r="T310" s="13">
        <v>2.0049000000000001</v>
      </c>
      <c r="U310" s="1" t="str">
        <f t="shared" si="13"/>
        <v>Profit</v>
      </c>
      <c r="V310" s="1" t="str">
        <f t="shared" si="14"/>
        <v>Low</v>
      </c>
    </row>
    <row r="311" spans="1:22" x14ac:dyDescent="0.35">
      <c r="A311" s="11">
        <v>310</v>
      </c>
      <c r="B311" s="10">
        <v>41530</v>
      </c>
      <c r="C311" s="11">
        <v>2013</v>
      </c>
      <c r="D311" s="12" t="s">
        <v>108</v>
      </c>
      <c r="E311" s="10">
        <v>41532</v>
      </c>
      <c r="F311" s="11">
        <f t="shared" si="12"/>
        <v>2</v>
      </c>
      <c r="G311" s="11" t="s">
        <v>21</v>
      </c>
      <c r="H311" s="11" t="s">
        <v>584</v>
      </c>
      <c r="I311" s="11" t="s">
        <v>34</v>
      </c>
      <c r="J311" s="11" t="s">
        <v>890</v>
      </c>
      <c r="K311" s="11" t="s">
        <v>585</v>
      </c>
      <c r="L311" s="11" t="s">
        <v>264</v>
      </c>
      <c r="M311" s="11" t="s">
        <v>37</v>
      </c>
      <c r="N311" s="11" t="s">
        <v>27</v>
      </c>
      <c r="O311" s="11" t="s">
        <v>51</v>
      </c>
      <c r="P311" s="11" t="s">
        <v>586</v>
      </c>
      <c r="Q311" s="13">
        <v>15.135999999999999</v>
      </c>
      <c r="R311" s="11">
        <v>4</v>
      </c>
      <c r="S311" s="16">
        <v>0.2</v>
      </c>
      <c r="T311" s="13">
        <v>3.5948000000000002</v>
      </c>
      <c r="U311" s="1" t="str">
        <f t="shared" si="13"/>
        <v>Profit</v>
      </c>
      <c r="V311" s="1" t="str">
        <f t="shared" si="14"/>
        <v>Low</v>
      </c>
    </row>
    <row r="312" spans="1:22" x14ac:dyDescent="0.35">
      <c r="A312" s="11">
        <v>311</v>
      </c>
      <c r="B312" s="10">
        <v>41530</v>
      </c>
      <c r="C312" s="11">
        <v>2013</v>
      </c>
      <c r="D312" s="12" t="s">
        <v>108</v>
      </c>
      <c r="E312" s="10">
        <v>41532</v>
      </c>
      <c r="F312" s="11">
        <f t="shared" si="12"/>
        <v>2</v>
      </c>
      <c r="G312" s="11" t="s">
        <v>21</v>
      </c>
      <c r="H312" s="11" t="s">
        <v>584</v>
      </c>
      <c r="I312" s="11" t="s">
        <v>34</v>
      </c>
      <c r="J312" s="11" t="s">
        <v>890</v>
      </c>
      <c r="K312" s="11" t="s">
        <v>585</v>
      </c>
      <c r="L312" s="11" t="s">
        <v>264</v>
      </c>
      <c r="M312" s="11" t="s">
        <v>37</v>
      </c>
      <c r="N312" s="11" t="s">
        <v>27</v>
      </c>
      <c r="O312" s="11" t="s">
        <v>30</v>
      </c>
      <c r="P312" s="11" t="s">
        <v>587</v>
      </c>
      <c r="Q312" s="13">
        <v>466.76799999999997</v>
      </c>
      <c r="R312" s="11">
        <v>2</v>
      </c>
      <c r="S312" s="16">
        <v>0.2</v>
      </c>
      <c r="T312" s="13">
        <v>52.511400000000002</v>
      </c>
      <c r="U312" s="1" t="str">
        <f t="shared" si="13"/>
        <v>Profit</v>
      </c>
      <c r="V312" s="1" t="str">
        <f t="shared" si="14"/>
        <v>Low</v>
      </c>
    </row>
    <row r="313" spans="1:22" x14ac:dyDescent="0.35">
      <c r="A313" s="11">
        <v>312</v>
      </c>
      <c r="B313" s="10">
        <v>41530</v>
      </c>
      <c r="C313" s="11">
        <v>2013</v>
      </c>
      <c r="D313" s="12" t="s">
        <v>108</v>
      </c>
      <c r="E313" s="10">
        <v>41532</v>
      </c>
      <c r="F313" s="11">
        <f t="shared" si="12"/>
        <v>2</v>
      </c>
      <c r="G313" s="11" t="s">
        <v>21</v>
      </c>
      <c r="H313" s="11" t="s">
        <v>584</v>
      </c>
      <c r="I313" s="11" t="s">
        <v>34</v>
      </c>
      <c r="J313" s="11" t="s">
        <v>890</v>
      </c>
      <c r="K313" s="11" t="s">
        <v>585</v>
      </c>
      <c r="L313" s="11" t="s">
        <v>264</v>
      </c>
      <c r="M313" s="11" t="s">
        <v>37</v>
      </c>
      <c r="N313" s="11" t="s">
        <v>27</v>
      </c>
      <c r="O313" s="11" t="s">
        <v>51</v>
      </c>
      <c r="P313" s="11" t="s">
        <v>588</v>
      </c>
      <c r="Q313" s="13">
        <v>15.231999999999999</v>
      </c>
      <c r="R313" s="11">
        <v>1</v>
      </c>
      <c r="S313" s="16">
        <v>0.2</v>
      </c>
      <c r="T313" s="13">
        <v>1.7136</v>
      </c>
      <c r="U313" s="1" t="str">
        <f t="shared" si="13"/>
        <v>Profit</v>
      </c>
      <c r="V313" s="1" t="str">
        <f t="shared" si="14"/>
        <v>Low</v>
      </c>
    </row>
    <row r="314" spans="1:22" x14ac:dyDescent="0.35">
      <c r="A314" s="11">
        <v>313</v>
      </c>
      <c r="B314" s="10">
        <v>41530</v>
      </c>
      <c r="C314" s="11">
        <v>2013</v>
      </c>
      <c r="D314" s="12" t="s">
        <v>108</v>
      </c>
      <c r="E314" s="10">
        <v>41532</v>
      </c>
      <c r="F314" s="11">
        <f t="shared" si="12"/>
        <v>2</v>
      </c>
      <c r="G314" s="11" t="s">
        <v>21</v>
      </c>
      <c r="H314" s="11" t="s">
        <v>584</v>
      </c>
      <c r="I314" s="11" t="s">
        <v>34</v>
      </c>
      <c r="J314" s="11" t="s">
        <v>890</v>
      </c>
      <c r="K314" s="11" t="s">
        <v>585</v>
      </c>
      <c r="L314" s="11" t="s">
        <v>264</v>
      </c>
      <c r="M314" s="11" t="s">
        <v>37</v>
      </c>
      <c r="N314" s="11" t="s">
        <v>38</v>
      </c>
      <c r="O314" s="11" t="s">
        <v>39</v>
      </c>
      <c r="P314" s="11" t="s">
        <v>589</v>
      </c>
      <c r="Q314" s="13">
        <v>6.2640000000000002</v>
      </c>
      <c r="R314" s="11">
        <v>3</v>
      </c>
      <c r="S314" s="16">
        <v>0.2</v>
      </c>
      <c r="T314" s="13">
        <v>2.0358000000000001</v>
      </c>
      <c r="U314" s="1" t="str">
        <f t="shared" si="13"/>
        <v>Profit</v>
      </c>
      <c r="V314" s="1" t="str">
        <f t="shared" si="14"/>
        <v>Low</v>
      </c>
    </row>
    <row r="315" spans="1:22" x14ac:dyDescent="0.35">
      <c r="A315" s="11">
        <v>314</v>
      </c>
      <c r="B315" s="10">
        <v>40813</v>
      </c>
      <c r="C315" s="11">
        <v>2011</v>
      </c>
      <c r="D315" s="12" t="s">
        <v>108</v>
      </c>
      <c r="E315" s="10">
        <v>40819</v>
      </c>
      <c r="F315" s="11">
        <f t="shared" si="12"/>
        <v>6</v>
      </c>
      <c r="G315" s="11" t="s">
        <v>42</v>
      </c>
      <c r="H315" s="11" t="s">
        <v>590</v>
      </c>
      <c r="I315" s="11" t="s">
        <v>34</v>
      </c>
      <c r="J315" s="11" t="s">
        <v>890</v>
      </c>
      <c r="K315" s="11" t="s">
        <v>591</v>
      </c>
      <c r="L315" s="11" t="s">
        <v>425</v>
      </c>
      <c r="M315" s="11" t="s">
        <v>106</v>
      </c>
      <c r="N315" s="11" t="s">
        <v>27</v>
      </c>
      <c r="O315" s="11" t="s">
        <v>51</v>
      </c>
      <c r="P315" s="11" t="s">
        <v>592</v>
      </c>
      <c r="Q315" s="13">
        <v>87.54</v>
      </c>
      <c r="R315" s="11">
        <v>3</v>
      </c>
      <c r="S315" s="16">
        <v>0</v>
      </c>
      <c r="T315" s="13">
        <v>37.642200000000003</v>
      </c>
      <c r="U315" s="1" t="str">
        <f t="shared" si="13"/>
        <v>Profit</v>
      </c>
      <c r="V315" s="1" t="str">
        <f t="shared" si="14"/>
        <v>Low</v>
      </c>
    </row>
    <row r="316" spans="1:22" x14ac:dyDescent="0.35">
      <c r="A316" s="11">
        <v>315</v>
      </c>
      <c r="B316" s="10">
        <v>40764</v>
      </c>
      <c r="C316" s="11">
        <v>2011</v>
      </c>
      <c r="D316" s="12" t="s">
        <v>91</v>
      </c>
      <c r="E316" s="10">
        <v>40771</v>
      </c>
      <c r="F316" s="11">
        <f t="shared" si="12"/>
        <v>7</v>
      </c>
      <c r="G316" s="11" t="s">
        <v>42</v>
      </c>
      <c r="H316" s="11" t="s">
        <v>593</v>
      </c>
      <c r="I316" s="11" t="s">
        <v>34</v>
      </c>
      <c r="J316" s="11" t="s">
        <v>890</v>
      </c>
      <c r="K316" s="11" t="s">
        <v>594</v>
      </c>
      <c r="L316" s="11" t="s">
        <v>45</v>
      </c>
      <c r="M316" s="11" t="s">
        <v>26</v>
      </c>
      <c r="N316" s="11" t="s">
        <v>55</v>
      </c>
      <c r="O316" s="11" t="s">
        <v>56</v>
      </c>
      <c r="P316" s="11" t="s">
        <v>595</v>
      </c>
      <c r="Q316" s="13">
        <v>178.38399999999999</v>
      </c>
      <c r="R316" s="11">
        <v>2</v>
      </c>
      <c r="S316" s="16">
        <v>0.2</v>
      </c>
      <c r="T316" s="13">
        <v>22.297999999999998</v>
      </c>
      <c r="U316" s="1" t="str">
        <f t="shared" si="13"/>
        <v>Profit</v>
      </c>
      <c r="V316" s="1" t="str">
        <f t="shared" si="14"/>
        <v>Low</v>
      </c>
    </row>
    <row r="317" spans="1:22" x14ac:dyDescent="0.35">
      <c r="A317" s="11">
        <v>316</v>
      </c>
      <c r="B317" s="10">
        <v>40764</v>
      </c>
      <c r="C317" s="11">
        <v>2011</v>
      </c>
      <c r="D317" s="12" t="s">
        <v>91</v>
      </c>
      <c r="E317" s="10">
        <v>40771</v>
      </c>
      <c r="F317" s="11">
        <f t="shared" si="12"/>
        <v>7</v>
      </c>
      <c r="G317" s="11" t="s">
        <v>42</v>
      </c>
      <c r="H317" s="11" t="s">
        <v>593</v>
      </c>
      <c r="I317" s="11" t="s">
        <v>34</v>
      </c>
      <c r="J317" s="11" t="s">
        <v>890</v>
      </c>
      <c r="K317" s="11" t="s">
        <v>594</v>
      </c>
      <c r="L317" s="11" t="s">
        <v>45</v>
      </c>
      <c r="M317" s="11" t="s">
        <v>26</v>
      </c>
      <c r="N317" s="11" t="s">
        <v>38</v>
      </c>
      <c r="O317" s="11" t="s">
        <v>68</v>
      </c>
      <c r="P317" s="11" t="s">
        <v>596</v>
      </c>
      <c r="Q317" s="13">
        <v>15.552</v>
      </c>
      <c r="R317" s="11">
        <v>3</v>
      </c>
      <c r="S317" s="16">
        <v>0.2</v>
      </c>
      <c r="T317" s="13">
        <v>5.4432</v>
      </c>
      <c r="U317" s="1" t="str">
        <f t="shared" si="13"/>
        <v>Profit</v>
      </c>
      <c r="V317" s="1" t="str">
        <f t="shared" si="14"/>
        <v>Low</v>
      </c>
    </row>
    <row r="318" spans="1:22" x14ac:dyDescent="0.35">
      <c r="A318" s="11">
        <v>317</v>
      </c>
      <c r="B318" s="10">
        <v>40905</v>
      </c>
      <c r="C318" s="11">
        <v>2011</v>
      </c>
      <c r="D318" s="12" t="s">
        <v>70</v>
      </c>
      <c r="E318" s="10">
        <v>40907</v>
      </c>
      <c r="F318" s="11">
        <f t="shared" si="12"/>
        <v>2</v>
      </c>
      <c r="G318" s="11" t="s">
        <v>128</v>
      </c>
      <c r="H318" s="11" t="s">
        <v>597</v>
      </c>
      <c r="I318" s="11" t="s">
        <v>34</v>
      </c>
      <c r="J318" s="11" t="s">
        <v>890</v>
      </c>
      <c r="K318" s="11" t="s">
        <v>104</v>
      </c>
      <c r="L318" s="11" t="s">
        <v>105</v>
      </c>
      <c r="M318" s="11" t="s">
        <v>106</v>
      </c>
      <c r="N318" s="11" t="s">
        <v>38</v>
      </c>
      <c r="O318" s="11" t="s">
        <v>53</v>
      </c>
      <c r="P318" s="11" t="s">
        <v>598</v>
      </c>
      <c r="Q318" s="13">
        <v>99.135999999999996</v>
      </c>
      <c r="R318" s="11">
        <v>4</v>
      </c>
      <c r="S318" s="16">
        <v>0.2</v>
      </c>
      <c r="T318" s="13">
        <v>8.6744000000000003</v>
      </c>
      <c r="U318" s="1" t="str">
        <f t="shared" si="13"/>
        <v>Profit</v>
      </c>
      <c r="V318" s="1" t="str">
        <f t="shared" si="14"/>
        <v>Low</v>
      </c>
    </row>
    <row r="319" spans="1:22" x14ac:dyDescent="0.35">
      <c r="A319" s="11">
        <v>318</v>
      </c>
      <c r="B319" s="10">
        <v>40851</v>
      </c>
      <c r="C319" s="11">
        <v>2011</v>
      </c>
      <c r="D319" s="12" t="s">
        <v>20</v>
      </c>
      <c r="E319" s="10">
        <v>40856</v>
      </c>
      <c r="F319" s="11">
        <f t="shared" si="12"/>
        <v>5</v>
      </c>
      <c r="G319" s="11" t="s">
        <v>42</v>
      </c>
      <c r="H319" s="11" t="s">
        <v>599</v>
      </c>
      <c r="I319" s="11" t="s">
        <v>76</v>
      </c>
      <c r="J319" s="11" t="s">
        <v>890</v>
      </c>
      <c r="K319" s="11" t="s">
        <v>170</v>
      </c>
      <c r="L319" s="11" t="s">
        <v>171</v>
      </c>
      <c r="M319" s="11" t="s">
        <v>106</v>
      </c>
      <c r="N319" s="11" t="s">
        <v>27</v>
      </c>
      <c r="O319" s="11" t="s">
        <v>30</v>
      </c>
      <c r="P319" s="11" t="s">
        <v>600</v>
      </c>
      <c r="Q319" s="13">
        <v>135.88200000000001</v>
      </c>
      <c r="R319" s="11">
        <v>1</v>
      </c>
      <c r="S319" s="16">
        <v>0.1</v>
      </c>
      <c r="T319" s="13">
        <v>24.1568</v>
      </c>
      <c r="U319" s="1" t="str">
        <f t="shared" si="13"/>
        <v>Profit</v>
      </c>
      <c r="V319" s="1" t="str">
        <f t="shared" si="14"/>
        <v>Low</v>
      </c>
    </row>
    <row r="320" spans="1:22" x14ac:dyDescent="0.35">
      <c r="A320" s="11">
        <v>319</v>
      </c>
      <c r="B320" s="10">
        <v>40851</v>
      </c>
      <c r="C320" s="11">
        <v>2011</v>
      </c>
      <c r="D320" s="12" t="s">
        <v>20</v>
      </c>
      <c r="E320" s="10">
        <v>40856</v>
      </c>
      <c r="F320" s="11">
        <f t="shared" si="12"/>
        <v>5</v>
      </c>
      <c r="G320" s="11" t="s">
        <v>42</v>
      </c>
      <c r="H320" s="11" t="s">
        <v>599</v>
      </c>
      <c r="I320" s="11" t="s">
        <v>76</v>
      </c>
      <c r="J320" s="11" t="s">
        <v>890</v>
      </c>
      <c r="K320" s="11" t="s">
        <v>170</v>
      </c>
      <c r="L320" s="11" t="s">
        <v>171</v>
      </c>
      <c r="M320" s="11" t="s">
        <v>106</v>
      </c>
      <c r="N320" s="11" t="s">
        <v>55</v>
      </c>
      <c r="O320" s="11" t="s">
        <v>374</v>
      </c>
      <c r="P320" s="11" t="s">
        <v>601</v>
      </c>
      <c r="Q320" s="13">
        <v>3991.98</v>
      </c>
      <c r="R320" s="11">
        <v>2</v>
      </c>
      <c r="S320" s="16">
        <v>0</v>
      </c>
      <c r="T320" s="13">
        <v>1995.99</v>
      </c>
      <c r="U320" s="1" t="str">
        <f t="shared" si="13"/>
        <v>Profit</v>
      </c>
      <c r="V320" s="1" t="str">
        <f t="shared" si="14"/>
        <v>High</v>
      </c>
    </row>
    <row r="321" spans="1:22" x14ac:dyDescent="0.35">
      <c r="A321" s="11">
        <v>320</v>
      </c>
      <c r="B321" s="10">
        <v>40851</v>
      </c>
      <c r="C321" s="11">
        <v>2011</v>
      </c>
      <c r="D321" s="12" t="s">
        <v>20</v>
      </c>
      <c r="E321" s="10">
        <v>40856</v>
      </c>
      <c r="F321" s="11">
        <f t="shared" si="12"/>
        <v>5</v>
      </c>
      <c r="G321" s="11" t="s">
        <v>42</v>
      </c>
      <c r="H321" s="11" t="s">
        <v>599</v>
      </c>
      <c r="I321" s="11" t="s">
        <v>76</v>
      </c>
      <c r="J321" s="11" t="s">
        <v>890</v>
      </c>
      <c r="K321" s="11" t="s">
        <v>170</v>
      </c>
      <c r="L321" s="11" t="s">
        <v>171</v>
      </c>
      <c r="M321" s="11" t="s">
        <v>106</v>
      </c>
      <c r="N321" s="11" t="s">
        <v>55</v>
      </c>
      <c r="O321" s="11" t="s">
        <v>56</v>
      </c>
      <c r="P321" s="11" t="s">
        <v>141</v>
      </c>
      <c r="Q321" s="13">
        <v>275.94</v>
      </c>
      <c r="R321" s="11">
        <v>6</v>
      </c>
      <c r="S321" s="16">
        <v>0</v>
      </c>
      <c r="T321" s="13">
        <v>80.022599999999997</v>
      </c>
      <c r="U321" s="1" t="str">
        <f t="shared" si="13"/>
        <v>Profit</v>
      </c>
      <c r="V321" s="1" t="str">
        <f t="shared" si="14"/>
        <v>Low</v>
      </c>
    </row>
    <row r="322" spans="1:22" x14ac:dyDescent="0.35">
      <c r="A322" s="11">
        <v>321</v>
      </c>
      <c r="B322" s="10">
        <v>40851</v>
      </c>
      <c r="C322" s="11">
        <v>2011</v>
      </c>
      <c r="D322" s="12" t="s">
        <v>20</v>
      </c>
      <c r="E322" s="10">
        <v>40856</v>
      </c>
      <c r="F322" s="11">
        <f t="shared" ref="F322:F385" si="15">_xlfn.DAYS(E322,B322)</f>
        <v>5</v>
      </c>
      <c r="G322" s="11" t="s">
        <v>42</v>
      </c>
      <c r="H322" s="11" t="s">
        <v>599</v>
      </c>
      <c r="I322" s="11" t="s">
        <v>76</v>
      </c>
      <c r="J322" s="11" t="s">
        <v>890</v>
      </c>
      <c r="K322" s="11" t="s">
        <v>170</v>
      </c>
      <c r="L322" s="11" t="s">
        <v>171</v>
      </c>
      <c r="M322" s="11" t="s">
        <v>106</v>
      </c>
      <c r="N322" s="11" t="s">
        <v>55</v>
      </c>
      <c r="O322" s="11" t="s">
        <v>114</v>
      </c>
      <c r="P322" s="11" t="s">
        <v>602</v>
      </c>
      <c r="Q322" s="13">
        <v>360</v>
      </c>
      <c r="R322" s="11">
        <v>4</v>
      </c>
      <c r="S322" s="16">
        <v>0</v>
      </c>
      <c r="T322" s="13">
        <v>129.6</v>
      </c>
      <c r="U322" s="1" t="str">
        <f t="shared" si="13"/>
        <v>Profit</v>
      </c>
      <c r="V322" s="1" t="str">
        <f t="shared" si="14"/>
        <v>Low</v>
      </c>
    </row>
    <row r="323" spans="1:22" x14ac:dyDescent="0.35">
      <c r="A323" s="11">
        <v>322</v>
      </c>
      <c r="B323" s="10">
        <v>40851</v>
      </c>
      <c r="C323" s="11">
        <v>2011</v>
      </c>
      <c r="D323" s="12" t="s">
        <v>20</v>
      </c>
      <c r="E323" s="10">
        <v>40856</v>
      </c>
      <c r="F323" s="11">
        <f t="shared" si="15"/>
        <v>5</v>
      </c>
      <c r="G323" s="11" t="s">
        <v>42</v>
      </c>
      <c r="H323" s="11" t="s">
        <v>599</v>
      </c>
      <c r="I323" s="11" t="s">
        <v>76</v>
      </c>
      <c r="J323" s="11" t="s">
        <v>890</v>
      </c>
      <c r="K323" s="11" t="s">
        <v>170</v>
      </c>
      <c r="L323" s="11" t="s">
        <v>171</v>
      </c>
      <c r="M323" s="11" t="s">
        <v>106</v>
      </c>
      <c r="N323" s="11" t="s">
        <v>38</v>
      </c>
      <c r="O323" s="11" t="s">
        <v>48</v>
      </c>
      <c r="P323" s="11" t="s">
        <v>309</v>
      </c>
      <c r="Q323" s="13">
        <v>43.57</v>
      </c>
      <c r="R323" s="11">
        <v>1</v>
      </c>
      <c r="S323" s="16">
        <v>0</v>
      </c>
      <c r="T323" s="13">
        <v>13.071</v>
      </c>
      <c r="U323" s="1" t="str">
        <f t="shared" ref="U323:U386" si="16">IF(T323&gt;0,"Profit","Loss")</f>
        <v>Profit</v>
      </c>
      <c r="V323" s="1" t="str">
        <f t="shared" ref="V323:V386" si="17">IF(Q323&gt;=1000,"High",IF(Q323&gt;=500,"Medium","Low"))</f>
        <v>Low</v>
      </c>
    </row>
    <row r="324" spans="1:22" x14ac:dyDescent="0.35">
      <c r="A324" s="11">
        <v>323</v>
      </c>
      <c r="B324" s="10">
        <v>40805</v>
      </c>
      <c r="C324" s="11">
        <v>2011</v>
      </c>
      <c r="D324" s="12" t="s">
        <v>108</v>
      </c>
      <c r="E324" s="10">
        <v>40810</v>
      </c>
      <c r="F324" s="11">
        <f t="shared" si="15"/>
        <v>5</v>
      </c>
      <c r="G324" s="11" t="s">
        <v>42</v>
      </c>
      <c r="H324" s="11" t="s">
        <v>603</v>
      </c>
      <c r="I324" s="11" t="s">
        <v>34</v>
      </c>
      <c r="J324" s="11" t="s">
        <v>890</v>
      </c>
      <c r="K324" s="11" t="s">
        <v>604</v>
      </c>
      <c r="L324" s="11" t="s">
        <v>36</v>
      </c>
      <c r="M324" s="11" t="s">
        <v>37</v>
      </c>
      <c r="N324" s="11" t="s">
        <v>38</v>
      </c>
      <c r="O324" s="11" t="s">
        <v>172</v>
      </c>
      <c r="P324" s="11" t="s">
        <v>605</v>
      </c>
      <c r="Q324" s="13">
        <v>7.16</v>
      </c>
      <c r="R324" s="11">
        <v>2</v>
      </c>
      <c r="S324" s="16">
        <v>0</v>
      </c>
      <c r="T324" s="13">
        <v>3.58</v>
      </c>
      <c r="U324" s="1" t="str">
        <f t="shared" si="16"/>
        <v>Profit</v>
      </c>
      <c r="V324" s="1" t="str">
        <f t="shared" si="17"/>
        <v>Low</v>
      </c>
    </row>
    <row r="325" spans="1:22" x14ac:dyDescent="0.35">
      <c r="A325" s="11">
        <v>324</v>
      </c>
      <c r="B325" s="10">
        <v>41388</v>
      </c>
      <c r="C325" s="11">
        <v>2013</v>
      </c>
      <c r="D325" s="12" t="s">
        <v>64</v>
      </c>
      <c r="E325" s="10">
        <v>41392</v>
      </c>
      <c r="F325" s="11">
        <f t="shared" si="15"/>
        <v>4</v>
      </c>
      <c r="G325" s="11" t="s">
        <v>42</v>
      </c>
      <c r="H325" s="11" t="s">
        <v>606</v>
      </c>
      <c r="I325" s="11" t="s">
        <v>34</v>
      </c>
      <c r="J325" s="11" t="s">
        <v>890</v>
      </c>
      <c r="K325" s="11" t="s">
        <v>607</v>
      </c>
      <c r="L325" s="11" t="s">
        <v>36</v>
      </c>
      <c r="M325" s="11" t="s">
        <v>37</v>
      </c>
      <c r="N325" s="11" t="s">
        <v>38</v>
      </c>
      <c r="O325" s="11" t="s">
        <v>58</v>
      </c>
      <c r="P325" s="11" t="s">
        <v>564</v>
      </c>
      <c r="Q325" s="13">
        <v>251.52</v>
      </c>
      <c r="R325" s="11">
        <v>6</v>
      </c>
      <c r="S325" s="16">
        <v>0.2</v>
      </c>
      <c r="T325" s="13">
        <v>81.744</v>
      </c>
      <c r="U325" s="1" t="str">
        <f t="shared" si="16"/>
        <v>Profit</v>
      </c>
      <c r="V325" s="1" t="str">
        <f t="shared" si="17"/>
        <v>Low</v>
      </c>
    </row>
    <row r="326" spans="1:22" x14ac:dyDescent="0.35">
      <c r="A326" s="11">
        <v>325</v>
      </c>
      <c r="B326" s="10">
        <v>41388</v>
      </c>
      <c r="C326" s="11">
        <v>2013</v>
      </c>
      <c r="D326" s="12" t="s">
        <v>64</v>
      </c>
      <c r="E326" s="10">
        <v>41392</v>
      </c>
      <c r="F326" s="11">
        <f t="shared" si="15"/>
        <v>4</v>
      </c>
      <c r="G326" s="11" t="s">
        <v>42</v>
      </c>
      <c r="H326" s="11" t="s">
        <v>606</v>
      </c>
      <c r="I326" s="11" t="s">
        <v>34</v>
      </c>
      <c r="J326" s="11" t="s">
        <v>890</v>
      </c>
      <c r="K326" s="11" t="s">
        <v>607</v>
      </c>
      <c r="L326" s="11" t="s">
        <v>36</v>
      </c>
      <c r="M326" s="11" t="s">
        <v>37</v>
      </c>
      <c r="N326" s="11" t="s">
        <v>55</v>
      </c>
      <c r="O326" s="11" t="s">
        <v>114</v>
      </c>
      <c r="P326" s="11" t="s">
        <v>608</v>
      </c>
      <c r="Q326" s="13">
        <v>99.99</v>
      </c>
      <c r="R326" s="11">
        <v>1</v>
      </c>
      <c r="S326" s="16">
        <v>0</v>
      </c>
      <c r="T326" s="13">
        <v>34.996499999999997</v>
      </c>
      <c r="U326" s="1" t="str">
        <f t="shared" si="16"/>
        <v>Profit</v>
      </c>
      <c r="V326" s="1" t="str">
        <f t="shared" si="17"/>
        <v>Low</v>
      </c>
    </row>
    <row r="327" spans="1:22" x14ac:dyDescent="0.35">
      <c r="A327" s="11">
        <v>326</v>
      </c>
      <c r="B327" s="10">
        <v>41947</v>
      </c>
      <c r="C327" s="11">
        <v>2014</v>
      </c>
      <c r="D327" s="12" t="s">
        <v>20</v>
      </c>
      <c r="E327" s="10">
        <v>41949</v>
      </c>
      <c r="F327" s="11">
        <f t="shared" si="15"/>
        <v>2</v>
      </c>
      <c r="G327" s="11" t="s">
        <v>21</v>
      </c>
      <c r="H327" s="11" t="s">
        <v>609</v>
      </c>
      <c r="I327" s="11" t="s">
        <v>34</v>
      </c>
      <c r="J327" s="11" t="s">
        <v>890</v>
      </c>
      <c r="K327" s="11" t="s">
        <v>610</v>
      </c>
      <c r="L327" s="11" t="s">
        <v>206</v>
      </c>
      <c r="M327" s="11" t="s">
        <v>26</v>
      </c>
      <c r="N327" s="11" t="s">
        <v>27</v>
      </c>
      <c r="O327" s="11" t="s">
        <v>51</v>
      </c>
      <c r="P327" s="11" t="s">
        <v>611</v>
      </c>
      <c r="Q327" s="13">
        <v>15.992000000000001</v>
      </c>
      <c r="R327" s="11">
        <v>1</v>
      </c>
      <c r="S327" s="16">
        <v>0.2</v>
      </c>
      <c r="T327" s="13">
        <v>0.99950000000000006</v>
      </c>
      <c r="U327" s="1" t="str">
        <f t="shared" si="16"/>
        <v>Profit</v>
      </c>
      <c r="V327" s="1" t="str">
        <f t="shared" si="17"/>
        <v>Low</v>
      </c>
    </row>
    <row r="328" spans="1:22" x14ac:dyDescent="0.35">
      <c r="A328" s="11">
        <v>327</v>
      </c>
      <c r="B328" s="10">
        <v>41517</v>
      </c>
      <c r="C328" s="11">
        <v>2013</v>
      </c>
      <c r="D328" s="12" t="s">
        <v>91</v>
      </c>
      <c r="E328" s="10">
        <v>41519</v>
      </c>
      <c r="F328" s="11">
        <f t="shared" si="15"/>
        <v>2</v>
      </c>
      <c r="G328" s="11" t="s">
        <v>128</v>
      </c>
      <c r="H328" s="11" t="s">
        <v>612</v>
      </c>
      <c r="I328" s="11" t="s">
        <v>23</v>
      </c>
      <c r="J328" s="11" t="s">
        <v>890</v>
      </c>
      <c r="K328" s="11" t="s">
        <v>104</v>
      </c>
      <c r="L328" s="11" t="s">
        <v>105</v>
      </c>
      <c r="M328" s="11" t="s">
        <v>106</v>
      </c>
      <c r="N328" s="11" t="s">
        <v>55</v>
      </c>
      <c r="O328" s="11" t="s">
        <v>56</v>
      </c>
      <c r="P328" s="11" t="s">
        <v>613</v>
      </c>
      <c r="Q328" s="13">
        <v>290.89800000000002</v>
      </c>
      <c r="R328" s="11">
        <v>3</v>
      </c>
      <c r="S328" s="16">
        <v>0.4</v>
      </c>
      <c r="T328" s="13">
        <v>-67.876199999999997</v>
      </c>
      <c r="U328" s="1" t="str">
        <f t="shared" si="16"/>
        <v>Loss</v>
      </c>
      <c r="V328" s="1" t="str">
        <f t="shared" si="17"/>
        <v>Low</v>
      </c>
    </row>
    <row r="329" spans="1:22" x14ac:dyDescent="0.35">
      <c r="A329" s="11">
        <v>328</v>
      </c>
      <c r="B329" s="10">
        <v>41517</v>
      </c>
      <c r="C329" s="11">
        <v>2013</v>
      </c>
      <c r="D329" s="12" t="s">
        <v>91</v>
      </c>
      <c r="E329" s="10">
        <v>41519</v>
      </c>
      <c r="F329" s="11">
        <f t="shared" si="15"/>
        <v>2</v>
      </c>
      <c r="G329" s="11" t="s">
        <v>128</v>
      </c>
      <c r="H329" s="11" t="s">
        <v>612</v>
      </c>
      <c r="I329" s="11" t="s">
        <v>23</v>
      </c>
      <c r="J329" s="11" t="s">
        <v>890</v>
      </c>
      <c r="K329" s="11" t="s">
        <v>104</v>
      </c>
      <c r="L329" s="11" t="s">
        <v>105</v>
      </c>
      <c r="M329" s="11" t="s">
        <v>106</v>
      </c>
      <c r="N329" s="11" t="s">
        <v>38</v>
      </c>
      <c r="O329" s="11" t="s">
        <v>48</v>
      </c>
      <c r="P329" s="11" t="s">
        <v>614</v>
      </c>
      <c r="Q329" s="13">
        <v>54.223999999999997</v>
      </c>
      <c r="R329" s="11">
        <v>2</v>
      </c>
      <c r="S329" s="16">
        <v>0.2</v>
      </c>
      <c r="T329" s="13">
        <v>3.3889999999999998</v>
      </c>
      <c r="U329" s="1" t="str">
        <f t="shared" si="16"/>
        <v>Profit</v>
      </c>
      <c r="V329" s="1" t="str">
        <f t="shared" si="17"/>
        <v>Low</v>
      </c>
    </row>
    <row r="330" spans="1:22" x14ac:dyDescent="0.35">
      <c r="A330" s="11">
        <v>329</v>
      </c>
      <c r="B330" s="10">
        <v>41517</v>
      </c>
      <c r="C330" s="11">
        <v>2013</v>
      </c>
      <c r="D330" s="12" t="s">
        <v>91</v>
      </c>
      <c r="E330" s="10">
        <v>41519</v>
      </c>
      <c r="F330" s="11">
        <f t="shared" si="15"/>
        <v>2</v>
      </c>
      <c r="G330" s="11" t="s">
        <v>128</v>
      </c>
      <c r="H330" s="11" t="s">
        <v>612</v>
      </c>
      <c r="I330" s="11" t="s">
        <v>23</v>
      </c>
      <c r="J330" s="11" t="s">
        <v>890</v>
      </c>
      <c r="K330" s="11" t="s">
        <v>104</v>
      </c>
      <c r="L330" s="11" t="s">
        <v>105</v>
      </c>
      <c r="M330" s="11" t="s">
        <v>106</v>
      </c>
      <c r="N330" s="11" t="s">
        <v>27</v>
      </c>
      <c r="O330" s="11" t="s">
        <v>30</v>
      </c>
      <c r="P330" s="11" t="s">
        <v>615</v>
      </c>
      <c r="Q330" s="13">
        <v>786.74400000000003</v>
      </c>
      <c r="R330" s="11">
        <v>4</v>
      </c>
      <c r="S330" s="16">
        <v>0.3</v>
      </c>
      <c r="T330" s="13">
        <v>-258.5016</v>
      </c>
      <c r="U330" s="1" t="str">
        <f t="shared" si="16"/>
        <v>Loss</v>
      </c>
      <c r="V330" s="1" t="str">
        <f t="shared" si="17"/>
        <v>Medium</v>
      </c>
    </row>
    <row r="331" spans="1:22" x14ac:dyDescent="0.35">
      <c r="A331" s="11">
        <v>330</v>
      </c>
      <c r="B331" s="10">
        <v>41517</v>
      </c>
      <c r="C331" s="11">
        <v>2013</v>
      </c>
      <c r="D331" s="12" t="s">
        <v>91</v>
      </c>
      <c r="E331" s="10">
        <v>41519</v>
      </c>
      <c r="F331" s="11">
        <f t="shared" si="15"/>
        <v>2</v>
      </c>
      <c r="G331" s="11" t="s">
        <v>128</v>
      </c>
      <c r="H331" s="11" t="s">
        <v>612</v>
      </c>
      <c r="I331" s="11" t="s">
        <v>23</v>
      </c>
      <c r="J331" s="11" t="s">
        <v>890</v>
      </c>
      <c r="K331" s="11" t="s">
        <v>104</v>
      </c>
      <c r="L331" s="11" t="s">
        <v>105</v>
      </c>
      <c r="M331" s="11" t="s">
        <v>106</v>
      </c>
      <c r="N331" s="11" t="s">
        <v>38</v>
      </c>
      <c r="O331" s="11" t="s">
        <v>39</v>
      </c>
      <c r="P331" s="11" t="s">
        <v>616</v>
      </c>
      <c r="Q331" s="13">
        <v>100.24</v>
      </c>
      <c r="R331" s="11">
        <v>10</v>
      </c>
      <c r="S331" s="16">
        <v>0.2</v>
      </c>
      <c r="T331" s="13">
        <v>33.831000000000003</v>
      </c>
      <c r="U331" s="1" t="str">
        <f t="shared" si="16"/>
        <v>Profit</v>
      </c>
      <c r="V331" s="1" t="str">
        <f t="shared" si="17"/>
        <v>Low</v>
      </c>
    </row>
    <row r="332" spans="1:22" x14ac:dyDescent="0.35">
      <c r="A332" s="11">
        <v>331</v>
      </c>
      <c r="B332" s="10">
        <v>41517</v>
      </c>
      <c r="C332" s="11">
        <v>2013</v>
      </c>
      <c r="D332" s="12" t="s">
        <v>91</v>
      </c>
      <c r="E332" s="10">
        <v>41519</v>
      </c>
      <c r="F332" s="11">
        <f t="shared" si="15"/>
        <v>2</v>
      </c>
      <c r="G332" s="11" t="s">
        <v>128</v>
      </c>
      <c r="H332" s="11" t="s">
        <v>612</v>
      </c>
      <c r="I332" s="11" t="s">
        <v>23</v>
      </c>
      <c r="J332" s="11" t="s">
        <v>890</v>
      </c>
      <c r="K332" s="11" t="s">
        <v>104</v>
      </c>
      <c r="L332" s="11" t="s">
        <v>105</v>
      </c>
      <c r="M332" s="11" t="s">
        <v>106</v>
      </c>
      <c r="N332" s="11" t="s">
        <v>38</v>
      </c>
      <c r="O332" s="11" t="s">
        <v>58</v>
      </c>
      <c r="P332" s="11" t="s">
        <v>617</v>
      </c>
      <c r="Q332" s="13">
        <v>37.764000000000003</v>
      </c>
      <c r="R332" s="11">
        <v>6</v>
      </c>
      <c r="S332" s="16">
        <v>0.7</v>
      </c>
      <c r="T332" s="13">
        <v>-27.6936</v>
      </c>
      <c r="U332" s="1" t="str">
        <f t="shared" si="16"/>
        <v>Loss</v>
      </c>
      <c r="V332" s="1" t="str">
        <f t="shared" si="17"/>
        <v>Low</v>
      </c>
    </row>
    <row r="333" spans="1:22" x14ac:dyDescent="0.35">
      <c r="A333" s="11">
        <v>332</v>
      </c>
      <c r="B333" s="10">
        <v>41390</v>
      </c>
      <c r="C333" s="11">
        <v>2013</v>
      </c>
      <c r="D333" s="12" t="s">
        <v>64</v>
      </c>
      <c r="E333" s="10">
        <v>41394</v>
      </c>
      <c r="F333" s="11">
        <f t="shared" si="15"/>
        <v>4</v>
      </c>
      <c r="G333" s="11" t="s">
        <v>21</v>
      </c>
      <c r="H333" s="11" t="s">
        <v>618</v>
      </c>
      <c r="I333" s="11" t="s">
        <v>23</v>
      </c>
      <c r="J333" s="11" t="s">
        <v>890</v>
      </c>
      <c r="K333" s="11" t="s">
        <v>104</v>
      </c>
      <c r="L333" s="11" t="s">
        <v>105</v>
      </c>
      <c r="M333" s="11" t="s">
        <v>106</v>
      </c>
      <c r="N333" s="11" t="s">
        <v>55</v>
      </c>
      <c r="O333" s="11" t="s">
        <v>56</v>
      </c>
      <c r="P333" s="11" t="s">
        <v>619</v>
      </c>
      <c r="Q333" s="13">
        <v>82.8</v>
      </c>
      <c r="R333" s="11">
        <v>2</v>
      </c>
      <c r="S333" s="16">
        <v>0.4</v>
      </c>
      <c r="T333" s="13">
        <v>-20.7</v>
      </c>
      <c r="U333" s="1" t="str">
        <f t="shared" si="16"/>
        <v>Loss</v>
      </c>
      <c r="V333" s="1" t="str">
        <f t="shared" si="17"/>
        <v>Low</v>
      </c>
    </row>
    <row r="334" spans="1:22" x14ac:dyDescent="0.35">
      <c r="A334" s="11">
        <v>333</v>
      </c>
      <c r="B334" s="10">
        <v>41390</v>
      </c>
      <c r="C334" s="11">
        <v>2013</v>
      </c>
      <c r="D334" s="12" t="s">
        <v>64</v>
      </c>
      <c r="E334" s="10">
        <v>41394</v>
      </c>
      <c r="F334" s="11">
        <f t="shared" si="15"/>
        <v>4</v>
      </c>
      <c r="G334" s="11" t="s">
        <v>21</v>
      </c>
      <c r="H334" s="11" t="s">
        <v>618</v>
      </c>
      <c r="I334" s="11" t="s">
        <v>23</v>
      </c>
      <c r="J334" s="11" t="s">
        <v>890</v>
      </c>
      <c r="K334" s="11" t="s">
        <v>104</v>
      </c>
      <c r="L334" s="11" t="s">
        <v>105</v>
      </c>
      <c r="M334" s="11" t="s">
        <v>106</v>
      </c>
      <c r="N334" s="11" t="s">
        <v>38</v>
      </c>
      <c r="O334" s="11" t="s">
        <v>58</v>
      </c>
      <c r="P334" s="11" t="s">
        <v>620</v>
      </c>
      <c r="Q334" s="13">
        <v>20.724</v>
      </c>
      <c r="R334" s="11">
        <v>2</v>
      </c>
      <c r="S334" s="16">
        <v>0.7</v>
      </c>
      <c r="T334" s="13">
        <v>-13.816000000000001</v>
      </c>
      <c r="U334" s="1" t="str">
        <f t="shared" si="16"/>
        <v>Loss</v>
      </c>
      <c r="V334" s="1" t="str">
        <f t="shared" si="17"/>
        <v>Low</v>
      </c>
    </row>
    <row r="335" spans="1:22" x14ac:dyDescent="0.35">
      <c r="A335" s="11">
        <v>334</v>
      </c>
      <c r="B335" s="10">
        <v>41390</v>
      </c>
      <c r="C335" s="11">
        <v>2013</v>
      </c>
      <c r="D335" s="12" t="s">
        <v>64</v>
      </c>
      <c r="E335" s="10">
        <v>41394</v>
      </c>
      <c r="F335" s="11">
        <f t="shared" si="15"/>
        <v>4</v>
      </c>
      <c r="G335" s="11" t="s">
        <v>21</v>
      </c>
      <c r="H335" s="11" t="s">
        <v>618</v>
      </c>
      <c r="I335" s="11" t="s">
        <v>23</v>
      </c>
      <c r="J335" s="11" t="s">
        <v>890</v>
      </c>
      <c r="K335" s="11" t="s">
        <v>104</v>
      </c>
      <c r="L335" s="11" t="s">
        <v>105</v>
      </c>
      <c r="M335" s="11" t="s">
        <v>106</v>
      </c>
      <c r="N335" s="11" t="s">
        <v>38</v>
      </c>
      <c r="O335" s="11" t="s">
        <v>58</v>
      </c>
      <c r="P335" s="11" t="s">
        <v>621</v>
      </c>
      <c r="Q335" s="13">
        <v>4.8959999999999999</v>
      </c>
      <c r="R335" s="11">
        <v>3</v>
      </c>
      <c r="S335" s="16">
        <v>0.7</v>
      </c>
      <c r="T335" s="13">
        <v>-3.4272</v>
      </c>
      <c r="U335" s="1" t="str">
        <f t="shared" si="16"/>
        <v>Loss</v>
      </c>
      <c r="V335" s="1" t="str">
        <f t="shared" si="17"/>
        <v>Low</v>
      </c>
    </row>
    <row r="336" spans="1:22" x14ac:dyDescent="0.35">
      <c r="A336" s="11">
        <v>335</v>
      </c>
      <c r="B336" s="10">
        <v>41153</v>
      </c>
      <c r="C336" s="11">
        <v>2012</v>
      </c>
      <c r="D336" s="12" t="s">
        <v>108</v>
      </c>
      <c r="E336" s="10">
        <v>41156</v>
      </c>
      <c r="F336" s="11">
        <f t="shared" si="15"/>
        <v>3</v>
      </c>
      <c r="G336" s="11" t="s">
        <v>21</v>
      </c>
      <c r="H336" s="11" t="s">
        <v>622</v>
      </c>
      <c r="I336" s="11" t="s">
        <v>23</v>
      </c>
      <c r="J336" s="11" t="s">
        <v>890</v>
      </c>
      <c r="K336" s="11" t="s">
        <v>35</v>
      </c>
      <c r="L336" s="11" t="s">
        <v>36</v>
      </c>
      <c r="M336" s="11" t="s">
        <v>37</v>
      </c>
      <c r="N336" s="11" t="s">
        <v>38</v>
      </c>
      <c r="O336" s="11" t="s">
        <v>58</v>
      </c>
      <c r="P336" s="11" t="s">
        <v>623</v>
      </c>
      <c r="Q336" s="13">
        <v>4.7519999999999998</v>
      </c>
      <c r="R336" s="11">
        <v>1</v>
      </c>
      <c r="S336" s="16">
        <v>0.2</v>
      </c>
      <c r="T336" s="13">
        <v>1.6037999999999999</v>
      </c>
      <c r="U336" s="1" t="str">
        <f t="shared" si="16"/>
        <v>Profit</v>
      </c>
      <c r="V336" s="1" t="str">
        <f t="shared" si="17"/>
        <v>Low</v>
      </c>
    </row>
    <row r="337" spans="1:22" x14ac:dyDescent="0.35">
      <c r="A337" s="11">
        <v>336</v>
      </c>
      <c r="B337" s="10">
        <v>41153</v>
      </c>
      <c r="C337" s="11">
        <v>2012</v>
      </c>
      <c r="D337" s="12" t="s">
        <v>108</v>
      </c>
      <c r="E337" s="10">
        <v>41156</v>
      </c>
      <c r="F337" s="11">
        <f t="shared" si="15"/>
        <v>3</v>
      </c>
      <c r="G337" s="11" t="s">
        <v>21</v>
      </c>
      <c r="H337" s="11" t="s">
        <v>622</v>
      </c>
      <c r="I337" s="11" t="s">
        <v>23</v>
      </c>
      <c r="J337" s="11" t="s">
        <v>890</v>
      </c>
      <c r="K337" s="11" t="s">
        <v>35</v>
      </c>
      <c r="L337" s="11" t="s">
        <v>36</v>
      </c>
      <c r="M337" s="11" t="s">
        <v>37</v>
      </c>
      <c r="N337" s="11" t="s">
        <v>55</v>
      </c>
      <c r="O337" s="11" t="s">
        <v>624</v>
      </c>
      <c r="P337" s="11" t="s">
        <v>625</v>
      </c>
      <c r="Q337" s="13">
        <v>959.98400000000004</v>
      </c>
      <c r="R337" s="11">
        <v>2</v>
      </c>
      <c r="S337" s="16">
        <v>0.2</v>
      </c>
      <c r="T337" s="13">
        <v>335.99439999999998</v>
      </c>
      <c r="U337" s="1" t="str">
        <f t="shared" si="16"/>
        <v>Profit</v>
      </c>
      <c r="V337" s="1" t="str">
        <f t="shared" si="17"/>
        <v>Medium</v>
      </c>
    </row>
    <row r="338" spans="1:22" x14ac:dyDescent="0.35">
      <c r="A338" s="11">
        <v>337</v>
      </c>
      <c r="B338" s="10">
        <v>41153</v>
      </c>
      <c r="C338" s="11">
        <v>2012</v>
      </c>
      <c r="D338" s="12" t="s">
        <v>108</v>
      </c>
      <c r="E338" s="10">
        <v>41156</v>
      </c>
      <c r="F338" s="11">
        <f t="shared" si="15"/>
        <v>3</v>
      </c>
      <c r="G338" s="11" t="s">
        <v>21</v>
      </c>
      <c r="H338" s="11" t="s">
        <v>622</v>
      </c>
      <c r="I338" s="11" t="s">
        <v>23</v>
      </c>
      <c r="J338" s="11" t="s">
        <v>890</v>
      </c>
      <c r="K338" s="11" t="s">
        <v>35</v>
      </c>
      <c r="L338" s="11" t="s">
        <v>36</v>
      </c>
      <c r="M338" s="11" t="s">
        <v>37</v>
      </c>
      <c r="N338" s="11" t="s">
        <v>38</v>
      </c>
      <c r="O338" s="11" t="s">
        <v>58</v>
      </c>
      <c r="P338" s="11" t="s">
        <v>626</v>
      </c>
      <c r="Q338" s="13">
        <v>14.368</v>
      </c>
      <c r="R338" s="11">
        <v>4</v>
      </c>
      <c r="S338" s="16">
        <v>0.2</v>
      </c>
      <c r="T338" s="13">
        <v>4.49</v>
      </c>
      <c r="U338" s="1" t="str">
        <f t="shared" si="16"/>
        <v>Profit</v>
      </c>
      <c r="V338" s="1" t="str">
        <f t="shared" si="17"/>
        <v>Low</v>
      </c>
    </row>
    <row r="339" spans="1:22" x14ac:dyDescent="0.35">
      <c r="A339" s="11">
        <v>338</v>
      </c>
      <c r="B339" s="10">
        <v>40736</v>
      </c>
      <c r="C339" s="11">
        <v>2011</v>
      </c>
      <c r="D339" s="12" t="s">
        <v>102</v>
      </c>
      <c r="E339" s="10">
        <v>40741</v>
      </c>
      <c r="F339" s="11">
        <f t="shared" si="15"/>
        <v>5</v>
      </c>
      <c r="G339" s="11" t="s">
        <v>42</v>
      </c>
      <c r="H339" s="11" t="s">
        <v>627</v>
      </c>
      <c r="I339" s="11" t="s">
        <v>34</v>
      </c>
      <c r="J339" s="11" t="s">
        <v>890</v>
      </c>
      <c r="K339" s="11" t="s">
        <v>93</v>
      </c>
      <c r="L339" s="11" t="s">
        <v>36</v>
      </c>
      <c r="M339" s="11" t="s">
        <v>37</v>
      </c>
      <c r="N339" s="11" t="s">
        <v>38</v>
      </c>
      <c r="O339" s="11" t="s">
        <v>58</v>
      </c>
      <c r="P339" s="11" t="s">
        <v>628</v>
      </c>
      <c r="Q339" s="13">
        <v>7.7119999999999997</v>
      </c>
      <c r="R339" s="11">
        <v>2</v>
      </c>
      <c r="S339" s="16">
        <v>0.2</v>
      </c>
      <c r="T339" s="13">
        <v>2.7955999999999999</v>
      </c>
      <c r="U339" s="1" t="str">
        <f t="shared" si="16"/>
        <v>Profit</v>
      </c>
      <c r="V339" s="1" t="str">
        <f t="shared" si="17"/>
        <v>Low</v>
      </c>
    </row>
    <row r="340" spans="1:22" x14ac:dyDescent="0.35">
      <c r="A340" s="11">
        <v>339</v>
      </c>
      <c r="B340" s="10">
        <v>40736</v>
      </c>
      <c r="C340" s="11">
        <v>2011</v>
      </c>
      <c r="D340" s="12" t="s">
        <v>102</v>
      </c>
      <c r="E340" s="10">
        <v>40741</v>
      </c>
      <c r="F340" s="11">
        <f t="shared" si="15"/>
        <v>5</v>
      </c>
      <c r="G340" s="11" t="s">
        <v>42</v>
      </c>
      <c r="H340" s="11" t="s">
        <v>627</v>
      </c>
      <c r="I340" s="11" t="s">
        <v>34</v>
      </c>
      <c r="J340" s="11" t="s">
        <v>890</v>
      </c>
      <c r="K340" s="11" t="s">
        <v>93</v>
      </c>
      <c r="L340" s="11" t="s">
        <v>36</v>
      </c>
      <c r="M340" s="11" t="s">
        <v>37</v>
      </c>
      <c r="N340" s="11" t="s">
        <v>27</v>
      </c>
      <c r="O340" s="11" t="s">
        <v>46</v>
      </c>
      <c r="P340" s="11" t="s">
        <v>629</v>
      </c>
      <c r="Q340" s="13">
        <v>698.35199999999998</v>
      </c>
      <c r="R340" s="11">
        <v>3</v>
      </c>
      <c r="S340" s="16">
        <v>0.2</v>
      </c>
      <c r="T340" s="13">
        <v>-17.4588</v>
      </c>
      <c r="U340" s="1" t="str">
        <f t="shared" si="16"/>
        <v>Loss</v>
      </c>
      <c r="V340" s="1" t="str">
        <f t="shared" si="17"/>
        <v>Medium</v>
      </c>
    </row>
    <row r="341" spans="1:22" x14ac:dyDescent="0.35">
      <c r="A341" s="11">
        <v>340</v>
      </c>
      <c r="B341" s="10">
        <v>41082</v>
      </c>
      <c r="C341" s="11">
        <v>2012</v>
      </c>
      <c r="D341" s="12" t="s">
        <v>32</v>
      </c>
      <c r="E341" s="10">
        <v>41086</v>
      </c>
      <c r="F341" s="11">
        <f t="shared" si="15"/>
        <v>4</v>
      </c>
      <c r="G341" s="11" t="s">
        <v>21</v>
      </c>
      <c r="H341" s="11" t="s">
        <v>486</v>
      </c>
      <c r="I341" s="11" t="s">
        <v>23</v>
      </c>
      <c r="J341" s="11" t="s">
        <v>890</v>
      </c>
      <c r="K341" s="11" t="s">
        <v>630</v>
      </c>
      <c r="L341" s="11" t="s">
        <v>89</v>
      </c>
      <c r="M341" s="11" t="s">
        <v>37</v>
      </c>
      <c r="N341" s="11" t="s">
        <v>38</v>
      </c>
      <c r="O341" s="11" t="s">
        <v>172</v>
      </c>
      <c r="P341" s="11" t="s">
        <v>631</v>
      </c>
      <c r="Q341" s="13">
        <v>4.96</v>
      </c>
      <c r="R341" s="11">
        <v>4</v>
      </c>
      <c r="S341" s="16">
        <v>0</v>
      </c>
      <c r="T341" s="13">
        <v>2.3311999999999999</v>
      </c>
      <c r="U341" s="1" t="str">
        <f t="shared" si="16"/>
        <v>Profit</v>
      </c>
      <c r="V341" s="1" t="str">
        <f t="shared" si="17"/>
        <v>Low</v>
      </c>
    </row>
    <row r="342" spans="1:22" x14ac:dyDescent="0.35">
      <c r="A342" s="11">
        <v>341</v>
      </c>
      <c r="B342" s="10">
        <v>40646</v>
      </c>
      <c r="C342" s="11">
        <v>2011</v>
      </c>
      <c r="D342" s="12" t="s">
        <v>64</v>
      </c>
      <c r="E342" s="10">
        <v>40650</v>
      </c>
      <c r="F342" s="11">
        <f t="shared" si="15"/>
        <v>4</v>
      </c>
      <c r="G342" s="11" t="s">
        <v>21</v>
      </c>
      <c r="H342" s="11" t="s">
        <v>326</v>
      </c>
      <c r="I342" s="11" t="s">
        <v>34</v>
      </c>
      <c r="J342" s="11" t="s">
        <v>890</v>
      </c>
      <c r="K342" s="11" t="s">
        <v>104</v>
      </c>
      <c r="L342" s="11" t="s">
        <v>105</v>
      </c>
      <c r="M342" s="11" t="s">
        <v>106</v>
      </c>
      <c r="N342" s="11" t="s">
        <v>38</v>
      </c>
      <c r="O342" s="11" t="s">
        <v>53</v>
      </c>
      <c r="P342" s="11" t="s">
        <v>632</v>
      </c>
      <c r="Q342" s="13">
        <v>17.856000000000002</v>
      </c>
      <c r="R342" s="11">
        <v>4</v>
      </c>
      <c r="S342" s="16">
        <v>0.2</v>
      </c>
      <c r="T342" s="13">
        <v>1.1160000000000001</v>
      </c>
      <c r="U342" s="1" t="str">
        <f t="shared" si="16"/>
        <v>Profit</v>
      </c>
      <c r="V342" s="1" t="str">
        <f t="shared" si="17"/>
        <v>Low</v>
      </c>
    </row>
    <row r="343" spans="1:22" x14ac:dyDescent="0.35">
      <c r="A343" s="11">
        <v>342</v>
      </c>
      <c r="B343" s="10">
        <v>40646</v>
      </c>
      <c r="C343" s="11">
        <v>2011</v>
      </c>
      <c r="D343" s="12" t="s">
        <v>64</v>
      </c>
      <c r="E343" s="10">
        <v>40650</v>
      </c>
      <c r="F343" s="11">
        <f t="shared" si="15"/>
        <v>4</v>
      </c>
      <c r="G343" s="11" t="s">
        <v>21</v>
      </c>
      <c r="H343" s="11" t="s">
        <v>326</v>
      </c>
      <c r="I343" s="11" t="s">
        <v>34</v>
      </c>
      <c r="J343" s="11" t="s">
        <v>890</v>
      </c>
      <c r="K343" s="11" t="s">
        <v>104</v>
      </c>
      <c r="L343" s="11" t="s">
        <v>105</v>
      </c>
      <c r="M343" s="11" t="s">
        <v>106</v>
      </c>
      <c r="N343" s="11" t="s">
        <v>38</v>
      </c>
      <c r="O343" s="11" t="s">
        <v>58</v>
      </c>
      <c r="P343" s="11" t="s">
        <v>74</v>
      </c>
      <c r="Q343" s="13">
        <v>509.97</v>
      </c>
      <c r="R343" s="11">
        <v>10</v>
      </c>
      <c r="S343" s="16">
        <v>0.7</v>
      </c>
      <c r="T343" s="13">
        <v>-407.976</v>
      </c>
      <c r="U343" s="1" t="str">
        <f t="shared" si="16"/>
        <v>Loss</v>
      </c>
      <c r="V343" s="1" t="str">
        <f t="shared" si="17"/>
        <v>Medium</v>
      </c>
    </row>
    <row r="344" spans="1:22" x14ac:dyDescent="0.35">
      <c r="A344" s="11">
        <v>343</v>
      </c>
      <c r="B344" s="10">
        <v>40646</v>
      </c>
      <c r="C344" s="11">
        <v>2011</v>
      </c>
      <c r="D344" s="12" t="s">
        <v>64</v>
      </c>
      <c r="E344" s="10">
        <v>40650</v>
      </c>
      <c r="F344" s="11">
        <f t="shared" si="15"/>
        <v>4</v>
      </c>
      <c r="G344" s="11" t="s">
        <v>21</v>
      </c>
      <c r="H344" s="11" t="s">
        <v>326</v>
      </c>
      <c r="I344" s="11" t="s">
        <v>34</v>
      </c>
      <c r="J344" s="11" t="s">
        <v>890</v>
      </c>
      <c r="K344" s="11" t="s">
        <v>104</v>
      </c>
      <c r="L344" s="11" t="s">
        <v>105</v>
      </c>
      <c r="M344" s="11" t="s">
        <v>106</v>
      </c>
      <c r="N344" s="11" t="s">
        <v>38</v>
      </c>
      <c r="O344" s="11" t="s">
        <v>172</v>
      </c>
      <c r="P344" s="11" t="s">
        <v>127</v>
      </c>
      <c r="Q344" s="13">
        <v>30.992000000000001</v>
      </c>
      <c r="R344" s="11">
        <v>13</v>
      </c>
      <c r="S344" s="16">
        <v>0.2</v>
      </c>
      <c r="T344" s="13">
        <v>10.0724</v>
      </c>
      <c r="U344" s="1" t="str">
        <f t="shared" si="16"/>
        <v>Profit</v>
      </c>
      <c r="V344" s="1" t="str">
        <f t="shared" si="17"/>
        <v>Low</v>
      </c>
    </row>
    <row r="345" spans="1:22" x14ac:dyDescent="0.35">
      <c r="A345" s="11">
        <v>344</v>
      </c>
      <c r="B345" s="10">
        <v>40646</v>
      </c>
      <c r="C345" s="11">
        <v>2011</v>
      </c>
      <c r="D345" s="12" t="s">
        <v>64</v>
      </c>
      <c r="E345" s="10">
        <v>40650</v>
      </c>
      <c r="F345" s="11">
        <f t="shared" si="15"/>
        <v>4</v>
      </c>
      <c r="G345" s="11" t="s">
        <v>21</v>
      </c>
      <c r="H345" s="11" t="s">
        <v>326</v>
      </c>
      <c r="I345" s="11" t="s">
        <v>34</v>
      </c>
      <c r="J345" s="11" t="s">
        <v>890</v>
      </c>
      <c r="K345" s="11" t="s">
        <v>104</v>
      </c>
      <c r="L345" s="11" t="s">
        <v>105</v>
      </c>
      <c r="M345" s="11" t="s">
        <v>106</v>
      </c>
      <c r="N345" s="11" t="s">
        <v>55</v>
      </c>
      <c r="O345" s="11" t="s">
        <v>56</v>
      </c>
      <c r="P345" s="11" t="s">
        <v>633</v>
      </c>
      <c r="Q345" s="13">
        <v>71.927999999999997</v>
      </c>
      <c r="R345" s="11">
        <v>12</v>
      </c>
      <c r="S345" s="16">
        <v>0.4</v>
      </c>
      <c r="T345" s="13">
        <v>8.3916000000000004</v>
      </c>
      <c r="U345" s="1" t="str">
        <f t="shared" si="16"/>
        <v>Profit</v>
      </c>
      <c r="V345" s="1" t="str">
        <f t="shared" si="17"/>
        <v>Low</v>
      </c>
    </row>
    <row r="346" spans="1:22" x14ac:dyDescent="0.35">
      <c r="A346" s="11">
        <v>345</v>
      </c>
      <c r="B346" s="10">
        <v>41263</v>
      </c>
      <c r="C346" s="11">
        <v>2012</v>
      </c>
      <c r="D346" s="12" t="s">
        <v>70</v>
      </c>
      <c r="E346" s="10">
        <v>41267</v>
      </c>
      <c r="F346" s="11">
        <f t="shared" si="15"/>
        <v>4</v>
      </c>
      <c r="G346" s="11" t="s">
        <v>42</v>
      </c>
      <c r="H346" s="11" t="s">
        <v>381</v>
      </c>
      <c r="I346" s="11" t="s">
        <v>23</v>
      </c>
      <c r="J346" s="11" t="s">
        <v>890</v>
      </c>
      <c r="K346" s="11" t="s">
        <v>634</v>
      </c>
      <c r="L346" s="11" t="s">
        <v>78</v>
      </c>
      <c r="M346" s="11" t="s">
        <v>79</v>
      </c>
      <c r="N346" s="11" t="s">
        <v>38</v>
      </c>
      <c r="O346" s="11" t="s">
        <v>48</v>
      </c>
      <c r="P346" s="11" t="s">
        <v>90</v>
      </c>
      <c r="Q346" s="13">
        <v>88.8</v>
      </c>
      <c r="R346" s="11">
        <v>4</v>
      </c>
      <c r="S346" s="16">
        <v>0.2</v>
      </c>
      <c r="T346" s="13">
        <v>-2.2200000000000002</v>
      </c>
      <c r="U346" s="1" t="str">
        <f t="shared" si="16"/>
        <v>Loss</v>
      </c>
      <c r="V346" s="1" t="str">
        <f t="shared" si="17"/>
        <v>Low</v>
      </c>
    </row>
    <row r="347" spans="1:22" x14ac:dyDescent="0.35">
      <c r="A347" s="11">
        <v>346</v>
      </c>
      <c r="B347" s="10">
        <v>41806</v>
      </c>
      <c r="C347" s="11">
        <v>2014</v>
      </c>
      <c r="D347" s="12" t="s">
        <v>32</v>
      </c>
      <c r="E347" s="10">
        <v>41810</v>
      </c>
      <c r="F347" s="11">
        <f t="shared" si="15"/>
        <v>4</v>
      </c>
      <c r="G347" s="11" t="s">
        <v>42</v>
      </c>
      <c r="H347" s="11" t="s">
        <v>635</v>
      </c>
      <c r="I347" s="11" t="s">
        <v>23</v>
      </c>
      <c r="J347" s="11" t="s">
        <v>890</v>
      </c>
      <c r="K347" s="11" t="s">
        <v>93</v>
      </c>
      <c r="L347" s="11" t="s">
        <v>36</v>
      </c>
      <c r="M347" s="11" t="s">
        <v>37</v>
      </c>
      <c r="N347" s="11" t="s">
        <v>55</v>
      </c>
      <c r="O347" s="11" t="s">
        <v>56</v>
      </c>
      <c r="P347" s="11" t="s">
        <v>315</v>
      </c>
      <c r="Q347" s="13">
        <v>47.975999999999999</v>
      </c>
      <c r="R347" s="11">
        <v>3</v>
      </c>
      <c r="S347" s="16">
        <v>0.2</v>
      </c>
      <c r="T347" s="13">
        <v>4.7976000000000001</v>
      </c>
      <c r="U347" s="1" t="str">
        <f t="shared" si="16"/>
        <v>Profit</v>
      </c>
      <c r="V347" s="1" t="str">
        <f t="shared" si="17"/>
        <v>Low</v>
      </c>
    </row>
    <row r="348" spans="1:22" x14ac:dyDescent="0.35">
      <c r="A348" s="11">
        <v>347</v>
      </c>
      <c r="B348" s="10">
        <v>41829</v>
      </c>
      <c r="C348" s="11">
        <v>2014</v>
      </c>
      <c r="D348" s="12" t="s">
        <v>102</v>
      </c>
      <c r="E348" s="10">
        <v>41833</v>
      </c>
      <c r="F348" s="11">
        <f t="shared" si="15"/>
        <v>4</v>
      </c>
      <c r="G348" s="11" t="s">
        <v>42</v>
      </c>
      <c r="H348" s="11" t="s">
        <v>636</v>
      </c>
      <c r="I348" s="11" t="s">
        <v>23</v>
      </c>
      <c r="J348" s="11" t="s">
        <v>890</v>
      </c>
      <c r="K348" s="11" t="s">
        <v>637</v>
      </c>
      <c r="L348" s="11" t="s">
        <v>638</v>
      </c>
      <c r="M348" s="11" t="s">
        <v>106</v>
      </c>
      <c r="N348" s="11" t="s">
        <v>38</v>
      </c>
      <c r="O348" s="11" t="s">
        <v>53</v>
      </c>
      <c r="P348" s="11" t="s">
        <v>422</v>
      </c>
      <c r="Q348" s="13">
        <v>7.56</v>
      </c>
      <c r="R348" s="11">
        <v>3</v>
      </c>
      <c r="S348" s="16">
        <v>0</v>
      </c>
      <c r="T348" s="13">
        <v>3.0996000000000001</v>
      </c>
      <c r="U348" s="1" t="str">
        <f t="shared" si="16"/>
        <v>Profit</v>
      </c>
      <c r="V348" s="1" t="str">
        <f t="shared" si="17"/>
        <v>Low</v>
      </c>
    </row>
    <row r="349" spans="1:22" x14ac:dyDescent="0.35">
      <c r="A349" s="11">
        <v>348</v>
      </c>
      <c r="B349" s="10">
        <v>41829</v>
      </c>
      <c r="C349" s="11">
        <v>2014</v>
      </c>
      <c r="D349" s="12" t="s">
        <v>102</v>
      </c>
      <c r="E349" s="10">
        <v>41833</v>
      </c>
      <c r="F349" s="11">
        <f t="shared" si="15"/>
        <v>4</v>
      </c>
      <c r="G349" s="11" t="s">
        <v>42</v>
      </c>
      <c r="H349" s="11" t="s">
        <v>636</v>
      </c>
      <c r="I349" s="11" t="s">
        <v>23</v>
      </c>
      <c r="J349" s="11" t="s">
        <v>890</v>
      </c>
      <c r="K349" s="11" t="s">
        <v>637</v>
      </c>
      <c r="L349" s="11" t="s">
        <v>638</v>
      </c>
      <c r="M349" s="11" t="s">
        <v>106</v>
      </c>
      <c r="N349" s="11" t="s">
        <v>38</v>
      </c>
      <c r="O349" s="11" t="s">
        <v>68</v>
      </c>
      <c r="P349" s="11" t="s">
        <v>127</v>
      </c>
      <c r="Q349" s="13">
        <v>24.56</v>
      </c>
      <c r="R349" s="11">
        <v>2</v>
      </c>
      <c r="S349" s="16">
        <v>0</v>
      </c>
      <c r="T349" s="13">
        <v>11.543200000000001</v>
      </c>
      <c r="U349" s="1" t="str">
        <f t="shared" si="16"/>
        <v>Profit</v>
      </c>
      <c r="V349" s="1" t="str">
        <f t="shared" si="17"/>
        <v>Low</v>
      </c>
    </row>
    <row r="350" spans="1:22" x14ac:dyDescent="0.35">
      <c r="A350" s="11">
        <v>349</v>
      </c>
      <c r="B350" s="10">
        <v>41829</v>
      </c>
      <c r="C350" s="11">
        <v>2014</v>
      </c>
      <c r="D350" s="12" t="s">
        <v>102</v>
      </c>
      <c r="E350" s="10">
        <v>41833</v>
      </c>
      <c r="F350" s="11">
        <f t="shared" si="15"/>
        <v>4</v>
      </c>
      <c r="G350" s="11" t="s">
        <v>42</v>
      </c>
      <c r="H350" s="11" t="s">
        <v>636</v>
      </c>
      <c r="I350" s="11" t="s">
        <v>23</v>
      </c>
      <c r="J350" s="11" t="s">
        <v>890</v>
      </c>
      <c r="K350" s="11" t="s">
        <v>637</v>
      </c>
      <c r="L350" s="11" t="s">
        <v>638</v>
      </c>
      <c r="M350" s="11" t="s">
        <v>106</v>
      </c>
      <c r="N350" s="11" t="s">
        <v>38</v>
      </c>
      <c r="O350" s="11" t="s">
        <v>53</v>
      </c>
      <c r="P350" s="11" t="s">
        <v>639</v>
      </c>
      <c r="Q350" s="13">
        <v>12.96</v>
      </c>
      <c r="R350" s="11">
        <v>2</v>
      </c>
      <c r="S350" s="16">
        <v>0</v>
      </c>
      <c r="T350" s="13">
        <v>4.1471999999999998</v>
      </c>
      <c r="U350" s="1" t="str">
        <f t="shared" si="16"/>
        <v>Profit</v>
      </c>
      <c r="V350" s="1" t="str">
        <f t="shared" si="17"/>
        <v>Low</v>
      </c>
    </row>
    <row r="351" spans="1:22" x14ac:dyDescent="0.35">
      <c r="A351" s="11">
        <v>350</v>
      </c>
      <c r="B351" s="10">
        <v>41519</v>
      </c>
      <c r="C351" s="11">
        <v>2013</v>
      </c>
      <c r="D351" s="12" t="s">
        <v>108</v>
      </c>
      <c r="E351" s="10">
        <v>41521</v>
      </c>
      <c r="F351" s="11">
        <f t="shared" si="15"/>
        <v>2</v>
      </c>
      <c r="G351" s="11" t="s">
        <v>128</v>
      </c>
      <c r="H351" s="11" t="s">
        <v>640</v>
      </c>
      <c r="I351" s="11" t="s">
        <v>76</v>
      </c>
      <c r="J351" s="11" t="s">
        <v>890</v>
      </c>
      <c r="K351" s="11" t="s">
        <v>170</v>
      </c>
      <c r="L351" s="11" t="s">
        <v>171</v>
      </c>
      <c r="M351" s="11" t="s">
        <v>106</v>
      </c>
      <c r="N351" s="11" t="s">
        <v>55</v>
      </c>
      <c r="O351" s="11" t="s">
        <v>114</v>
      </c>
      <c r="P351" s="11" t="s">
        <v>509</v>
      </c>
      <c r="Q351" s="13">
        <v>6.79</v>
      </c>
      <c r="R351" s="11">
        <v>1</v>
      </c>
      <c r="S351" s="16">
        <v>0</v>
      </c>
      <c r="T351" s="13">
        <v>2.3086000000000002</v>
      </c>
      <c r="U351" s="1" t="str">
        <f t="shared" si="16"/>
        <v>Profit</v>
      </c>
      <c r="V351" s="1" t="str">
        <f t="shared" si="17"/>
        <v>Low</v>
      </c>
    </row>
    <row r="352" spans="1:22" x14ac:dyDescent="0.35">
      <c r="A352" s="11">
        <v>351</v>
      </c>
      <c r="B352" s="10">
        <v>41519</v>
      </c>
      <c r="C352" s="11">
        <v>2013</v>
      </c>
      <c r="D352" s="12" t="s">
        <v>108</v>
      </c>
      <c r="E352" s="10">
        <v>41521</v>
      </c>
      <c r="F352" s="11">
        <f t="shared" si="15"/>
        <v>2</v>
      </c>
      <c r="G352" s="11" t="s">
        <v>128</v>
      </c>
      <c r="H352" s="11" t="s">
        <v>640</v>
      </c>
      <c r="I352" s="11" t="s">
        <v>76</v>
      </c>
      <c r="J352" s="11" t="s">
        <v>890</v>
      </c>
      <c r="K352" s="11" t="s">
        <v>170</v>
      </c>
      <c r="L352" s="11" t="s">
        <v>171</v>
      </c>
      <c r="M352" s="11" t="s">
        <v>106</v>
      </c>
      <c r="N352" s="11" t="s">
        <v>38</v>
      </c>
      <c r="O352" s="11" t="s">
        <v>68</v>
      </c>
      <c r="P352" s="11" t="s">
        <v>641</v>
      </c>
      <c r="Q352" s="13">
        <v>24.56</v>
      </c>
      <c r="R352" s="11">
        <v>2</v>
      </c>
      <c r="S352" s="16">
        <v>0</v>
      </c>
      <c r="T352" s="13">
        <v>11.543200000000001</v>
      </c>
      <c r="U352" s="1" t="str">
        <f t="shared" si="16"/>
        <v>Profit</v>
      </c>
      <c r="V352" s="1" t="str">
        <f t="shared" si="17"/>
        <v>Low</v>
      </c>
    </row>
    <row r="353" spans="1:22" x14ac:dyDescent="0.35">
      <c r="A353" s="11">
        <v>352</v>
      </c>
      <c r="B353" s="10">
        <v>41519</v>
      </c>
      <c r="C353" s="11">
        <v>2013</v>
      </c>
      <c r="D353" s="12" t="s">
        <v>108</v>
      </c>
      <c r="E353" s="10">
        <v>41521</v>
      </c>
      <c r="F353" s="11">
        <f t="shared" si="15"/>
        <v>2</v>
      </c>
      <c r="G353" s="11" t="s">
        <v>128</v>
      </c>
      <c r="H353" s="11" t="s">
        <v>640</v>
      </c>
      <c r="I353" s="11" t="s">
        <v>76</v>
      </c>
      <c r="J353" s="11" t="s">
        <v>890</v>
      </c>
      <c r="K353" s="11" t="s">
        <v>170</v>
      </c>
      <c r="L353" s="11" t="s">
        <v>171</v>
      </c>
      <c r="M353" s="11" t="s">
        <v>106</v>
      </c>
      <c r="N353" s="11" t="s">
        <v>38</v>
      </c>
      <c r="O353" s="11" t="s">
        <v>58</v>
      </c>
      <c r="P353" s="11" t="s">
        <v>642</v>
      </c>
      <c r="Q353" s="13">
        <v>3.048</v>
      </c>
      <c r="R353" s="11">
        <v>1</v>
      </c>
      <c r="S353" s="16">
        <v>0.2</v>
      </c>
      <c r="T353" s="13">
        <v>1.0668</v>
      </c>
      <c r="U353" s="1" t="str">
        <f t="shared" si="16"/>
        <v>Profit</v>
      </c>
      <c r="V353" s="1" t="str">
        <f t="shared" si="17"/>
        <v>Low</v>
      </c>
    </row>
    <row r="354" spans="1:22" x14ac:dyDescent="0.35">
      <c r="A354" s="11">
        <v>353</v>
      </c>
      <c r="B354" s="10">
        <v>41519</v>
      </c>
      <c r="C354" s="11">
        <v>2013</v>
      </c>
      <c r="D354" s="12" t="s">
        <v>108</v>
      </c>
      <c r="E354" s="10">
        <v>41521</v>
      </c>
      <c r="F354" s="11">
        <f t="shared" si="15"/>
        <v>2</v>
      </c>
      <c r="G354" s="11" t="s">
        <v>128</v>
      </c>
      <c r="H354" s="11" t="s">
        <v>640</v>
      </c>
      <c r="I354" s="11" t="s">
        <v>76</v>
      </c>
      <c r="J354" s="11" t="s">
        <v>890</v>
      </c>
      <c r="K354" s="11" t="s">
        <v>170</v>
      </c>
      <c r="L354" s="11" t="s">
        <v>171</v>
      </c>
      <c r="M354" s="11" t="s">
        <v>106</v>
      </c>
      <c r="N354" s="11" t="s">
        <v>38</v>
      </c>
      <c r="O354" s="11" t="s">
        <v>68</v>
      </c>
      <c r="P354" s="11" t="s">
        <v>641</v>
      </c>
      <c r="Q354" s="13">
        <v>49.12</v>
      </c>
      <c r="R354" s="11">
        <v>4</v>
      </c>
      <c r="S354" s="16">
        <v>0</v>
      </c>
      <c r="T354" s="13">
        <v>23.086400000000001</v>
      </c>
      <c r="U354" s="1" t="str">
        <f t="shared" si="16"/>
        <v>Profit</v>
      </c>
      <c r="V354" s="1" t="str">
        <f t="shared" si="17"/>
        <v>Low</v>
      </c>
    </row>
    <row r="355" spans="1:22" x14ac:dyDescent="0.35">
      <c r="A355" s="11">
        <v>354</v>
      </c>
      <c r="B355" s="10">
        <v>41519</v>
      </c>
      <c r="C355" s="11">
        <v>2013</v>
      </c>
      <c r="D355" s="12" t="s">
        <v>108</v>
      </c>
      <c r="E355" s="10">
        <v>41521</v>
      </c>
      <c r="F355" s="11">
        <f t="shared" si="15"/>
        <v>2</v>
      </c>
      <c r="G355" s="11" t="s">
        <v>128</v>
      </c>
      <c r="H355" s="11" t="s">
        <v>640</v>
      </c>
      <c r="I355" s="11" t="s">
        <v>76</v>
      </c>
      <c r="J355" s="11" t="s">
        <v>890</v>
      </c>
      <c r="K355" s="11" t="s">
        <v>170</v>
      </c>
      <c r="L355" s="11" t="s">
        <v>171</v>
      </c>
      <c r="M355" s="11" t="s">
        <v>106</v>
      </c>
      <c r="N355" s="11" t="s">
        <v>38</v>
      </c>
      <c r="O355" s="11" t="s">
        <v>58</v>
      </c>
      <c r="P355" s="11" t="s">
        <v>643</v>
      </c>
      <c r="Q355" s="13">
        <v>4355.1679999999997</v>
      </c>
      <c r="R355" s="11">
        <v>4</v>
      </c>
      <c r="S355" s="16">
        <v>0.2</v>
      </c>
      <c r="T355" s="13">
        <v>1415.4295999999999</v>
      </c>
      <c r="U355" s="1" t="str">
        <f t="shared" si="16"/>
        <v>Profit</v>
      </c>
      <c r="V355" s="1" t="str">
        <f t="shared" si="17"/>
        <v>High</v>
      </c>
    </row>
    <row r="356" spans="1:22" x14ac:dyDescent="0.35">
      <c r="A356" s="11">
        <v>355</v>
      </c>
      <c r="B356" s="10">
        <v>41373</v>
      </c>
      <c r="C356" s="11">
        <v>2013</v>
      </c>
      <c r="D356" s="12" t="s">
        <v>64</v>
      </c>
      <c r="E356" s="10">
        <v>41378</v>
      </c>
      <c r="F356" s="11">
        <f t="shared" si="15"/>
        <v>5</v>
      </c>
      <c r="G356" s="11" t="s">
        <v>42</v>
      </c>
      <c r="H356" s="11" t="s">
        <v>644</v>
      </c>
      <c r="I356" s="11" t="s">
        <v>23</v>
      </c>
      <c r="J356" s="11" t="s">
        <v>890</v>
      </c>
      <c r="K356" s="11" t="s">
        <v>170</v>
      </c>
      <c r="L356" s="11" t="s">
        <v>171</v>
      </c>
      <c r="M356" s="11" t="s">
        <v>106</v>
      </c>
      <c r="N356" s="11" t="s">
        <v>27</v>
      </c>
      <c r="O356" s="11" t="s">
        <v>28</v>
      </c>
      <c r="P356" s="11" t="s">
        <v>645</v>
      </c>
      <c r="Q356" s="13">
        <v>388.70400000000001</v>
      </c>
      <c r="R356" s="11">
        <v>6</v>
      </c>
      <c r="S356" s="16">
        <v>0.2</v>
      </c>
      <c r="T356" s="13">
        <v>-4.8587999999999996</v>
      </c>
      <c r="U356" s="1" t="str">
        <f t="shared" si="16"/>
        <v>Loss</v>
      </c>
      <c r="V356" s="1" t="str">
        <f t="shared" si="17"/>
        <v>Low</v>
      </c>
    </row>
    <row r="357" spans="1:22" x14ac:dyDescent="0.35">
      <c r="A357" s="11">
        <v>356</v>
      </c>
      <c r="B357" s="10">
        <v>41373</v>
      </c>
      <c r="C357" s="11">
        <v>2013</v>
      </c>
      <c r="D357" s="12" t="s">
        <v>64</v>
      </c>
      <c r="E357" s="10">
        <v>41378</v>
      </c>
      <c r="F357" s="11">
        <f t="shared" si="15"/>
        <v>5</v>
      </c>
      <c r="G357" s="11" t="s">
        <v>42</v>
      </c>
      <c r="H357" s="11" t="s">
        <v>644</v>
      </c>
      <c r="I357" s="11" t="s">
        <v>23</v>
      </c>
      <c r="J357" s="11" t="s">
        <v>890</v>
      </c>
      <c r="K357" s="11" t="s">
        <v>170</v>
      </c>
      <c r="L357" s="11" t="s">
        <v>171</v>
      </c>
      <c r="M357" s="11" t="s">
        <v>106</v>
      </c>
      <c r="N357" s="11" t="s">
        <v>38</v>
      </c>
      <c r="O357" s="11" t="s">
        <v>120</v>
      </c>
      <c r="P357" s="11" t="s">
        <v>646</v>
      </c>
      <c r="Q357" s="13">
        <v>8.26</v>
      </c>
      <c r="R357" s="11">
        <v>2</v>
      </c>
      <c r="S357" s="16">
        <v>0</v>
      </c>
      <c r="T357" s="13">
        <v>3.7995999999999999</v>
      </c>
      <c r="U357" s="1" t="str">
        <f t="shared" si="16"/>
        <v>Profit</v>
      </c>
      <c r="V357" s="1" t="str">
        <f t="shared" si="17"/>
        <v>Low</v>
      </c>
    </row>
    <row r="358" spans="1:22" x14ac:dyDescent="0.35">
      <c r="A358" s="11">
        <v>357</v>
      </c>
      <c r="B358" s="10">
        <v>41373</v>
      </c>
      <c r="C358" s="11">
        <v>2013</v>
      </c>
      <c r="D358" s="12" t="s">
        <v>64</v>
      </c>
      <c r="E358" s="10">
        <v>41378</v>
      </c>
      <c r="F358" s="11">
        <f t="shared" si="15"/>
        <v>5</v>
      </c>
      <c r="G358" s="11" t="s">
        <v>42</v>
      </c>
      <c r="H358" s="11" t="s">
        <v>644</v>
      </c>
      <c r="I358" s="11" t="s">
        <v>23</v>
      </c>
      <c r="J358" s="11" t="s">
        <v>890</v>
      </c>
      <c r="K358" s="11" t="s">
        <v>170</v>
      </c>
      <c r="L358" s="11" t="s">
        <v>171</v>
      </c>
      <c r="M358" s="11" t="s">
        <v>106</v>
      </c>
      <c r="N358" s="11" t="s">
        <v>38</v>
      </c>
      <c r="O358" s="11" t="s">
        <v>53</v>
      </c>
      <c r="P358" s="11" t="s">
        <v>647</v>
      </c>
      <c r="Q358" s="13">
        <v>17.04</v>
      </c>
      <c r="R358" s="11">
        <v>4</v>
      </c>
      <c r="S358" s="16">
        <v>0</v>
      </c>
      <c r="T358" s="13">
        <v>6.9863999999999997</v>
      </c>
      <c r="U358" s="1" t="str">
        <f t="shared" si="16"/>
        <v>Profit</v>
      </c>
      <c r="V358" s="1" t="str">
        <f t="shared" si="17"/>
        <v>Low</v>
      </c>
    </row>
    <row r="359" spans="1:22" x14ac:dyDescent="0.35">
      <c r="A359" s="11">
        <v>358</v>
      </c>
      <c r="B359" s="10">
        <v>41373</v>
      </c>
      <c r="C359" s="11">
        <v>2013</v>
      </c>
      <c r="D359" s="12" t="s">
        <v>64</v>
      </c>
      <c r="E359" s="10">
        <v>41378</v>
      </c>
      <c r="F359" s="11">
        <f t="shared" si="15"/>
        <v>5</v>
      </c>
      <c r="G359" s="11" t="s">
        <v>42</v>
      </c>
      <c r="H359" s="11" t="s">
        <v>644</v>
      </c>
      <c r="I359" s="11" t="s">
        <v>23</v>
      </c>
      <c r="J359" s="11" t="s">
        <v>890</v>
      </c>
      <c r="K359" s="11" t="s">
        <v>170</v>
      </c>
      <c r="L359" s="11" t="s">
        <v>171</v>
      </c>
      <c r="M359" s="11" t="s">
        <v>106</v>
      </c>
      <c r="N359" s="11" t="s">
        <v>38</v>
      </c>
      <c r="O359" s="11" t="s">
        <v>68</v>
      </c>
      <c r="P359" s="11" t="s">
        <v>648</v>
      </c>
      <c r="Q359" s="13">
        <v>34.4</v>
      </c>
      <c r="R359" s="11">
        <v>5</v>
      </c>
      <c r="S359" s="16">
        <v>0</v>
      </c>
      <c r="T359" s="13">
        <v>15.824</v>
      </c>
      <c r="U359" s="1" t="str">
        <f t="shared" si="16"/>
        <v>Profit</v>
      </c>
      <c r="V359" s="1" t="str">
        <f t="shared" si="17"/>
        <v>Low</v>
      </c>
    </row>
    <row r="360" spans="1:22" x14ac:dyDescent="0.35">
      <c r="A360" s="11">
        <v>359</v>
      </c>
      <c r="B360" s="10">
        <v>41388</v>
      </c>
      <c r="C360" s="11">
        <v>2013</v>
      </c>
      <c r="D360" s="12" t="s">
        <v>64</v>
      </c>
      <c r="E360" s="10">
        <v>41393</v>
      </c>
      <c r="F360" s="11">
        <f t="shared" si="15"/>
        <v>5</v>
      </c>
      <c r="G360" s="11" t="s">
        <v>42</v>
      </c>
      <c r="H360" s="11" t="s">
        <v>440</v>
      </c>
      <c r="I360" s="11" t="s">
        <v>34</v>
      </c>
      <c r="J360" s="11" t="s">
        <v>890</v>
      </c>
      <c r="K360" s="11" t="s">
        <v>269</v>
      </c>
      <c r="L360" s="11" t="s">
        <v>67</v>
      </c>
      <c r="M360" s="11" t="s">
        <v>26</v>
      </c>
      <c r="N360" s="11" t="s">
        <v>38</v>
      </c>
      <c r="O360" s="11" t="s">
        <v>68</v>
      </c>
      <c r="P360" s="11" t="s">
        <v>432</v>
      </c>
      <c r="Q360" s="13">
        <v>36.24</v>
      </c>
      <c r="R360" s="11">
        <v>5</v>
      </c>
      <c r="S360" s="16">
        <v>0.2</v>
      </c>
      <c r="T360" s="13">
        <v>11.324999999999999</v>
      </c>
      <c r="U360" s="1" t="str">
        <f t="shared" si="16"/>
        <v>Profit</v>
      </c>
      <c r="V360" s="1" t="str">
        <f t="shared" si="17"/>
        <v>Low</v>
      </c>
    </row>
    <row r="361" spans="1:22" x14ac:dyDescent="0.35">
      <c r="A361" s="11">
        <v>360</v>
      </c>
      <c r="B361" s="10">
        <v>41707</v>
      </c>
      <c r="C361" s="11">
        <v>2014</v>
      </c>
      <c r="D361" s="12" t="s">
        <v>147</v>
      </c>
      <c r="E361" s="10">
        <v>41710</v>
      </c>
      <c r="F361" s="11">
        <f t="shared" si="15"/>
        <v>3</v>
      </c>
      <c r="G361" s="11" t="s">
        <v>128</v>
      </c>
      <c r="H361" s="11" t="s">
        <v>649</v>
      </c>
      <c r="I361" s="11" t="s">
        <v>34</v>
      </c>
      <c r="J361" s="11" t="s">
        <v>890</v>
      </c>
      <c r="K361" s="11" t="s">
        <v>284</v>
      </c>
      <c r="L361" s="11" t="s">
        <v>650</v>
      </c>
      <c r="M361" s="11" t="s">
        <v>26</v>
      </c>
      <c r="N361" s="11" t="s">
        <v>38</v>
      </c>
      <c r="O361" s="11" t="s">
        <v>60</v>
      </c>
      <c r="P361" s="11" t="s">
        <v>651</v>
      </c>
      <c r="Q361" s="13">
        <v>647.84</v>
      </c>
      <c r="R361" s="11">
        <v>8</v>
      </c>
      <c r="S361" s="16">
        <v>0</v>
      </c>
      <c r="T361" s="13">
        <v>168.4384</v>
      </c>
      <c r="U361" s="1" t="str">
        <f t="shared" si="16"/>
        <v>Profit</v>
      </c>
      <c r="V361" s="1" t="str">
        <f t="shared" si="17"/>
        <v>Medium</v>
      </c>
    </row>
    <row r="362" spans="1:22" x14ac:dyDescent="0.35">
      <c r="A362" s="11">
        <v>361</v>
      </c>
      <c r="B362" s="10">
        <v>41707</v>
      </c>
      <c r="C362" s="11">
        <v>2014</v>
      </c>
      <c r="D362" s="12" t="s">
        <v>147</v>
      </c>
      <c r="E362" s="10">
        <v>41710</v>
      </c>
      <c r="F362" s="11">
        <f t="shared" si="15"/>
        <v>3</v>
      </c>
      <c r="G362" s="11" t="s">
        <v>128</v>
      </c>
      <c r="H362" s="11" t="s">
        <v>649</v>
      </c>
      <c r="I362" s="11" t="s">
        <v>34</v>
      </c>
      <c r="J362" s="11" t="s">
        <v>890</v>
      </c>
      <c r="K362" s="11" t="s">
        <v>284</v>
      </c>
      <c r="L362" s="11" t="s">
        <v>650</v>
      </c>
      <c r="M362" s="11" t="s">
        <v>26</v>
      </c>
      <c r="N362" s="11" t="s">
        <v>38</v>
      </c>
      <c r="O362" s="11" t="s">
        <v>39</v>
      </c>
      <c r="P362" s="11" t="s">
        <v>652</v>
      </c>
      <c r="Q362" s="13">
        <v>20.7</v>
      </c>
      <c r="R362" s="11">
        <v>2</v>
      </c>
      <c r="S362" s="16">
        <v>0</v>
      </c>
      <c r="T362" s="13">
        <v>9.9359999999999999</v>
      </c>
      <c r="U362" s="1" t="str">
        <f t="shared" si="16"/>
        <v>Profit</v>
      </c>
      <c r="V362" s="1" t="str">
        <f t="shared" si="17"/>
        <v>Low</v>
      </c>
    </row>
    <row r="363" spans="1:22" x14ac:dyDescent="0.35">
      <c r="A363" s="11">
        <v>362</v>
      </c>
      <c r="B363" s="10">
        <v>41908</v>
      </c>
      <c r="C363" s="11">
        <v>2014</v>
      </c>
      <c r="D363" s="12" t="s">
        <v>108</v>
      </c>
      <c r="E363" s="10">
        <v>41914</v>
      </c>
      <c r="F363" s="11">
        <f t="shared" si="15"/>
        <v>6</v>
      </c>
      <c r="G363" s="11" t="s">
        <v>42</v>
      </c>
      <c r="H363" s="11" t="s">
        <v>653</v>
      </c>
      <c r="I363" s="11" t="s">
        <v>23</v>
      </c>
      <c r="J363" s="11" t="s">
        <v>890</v>
      </c>
      <c r="K363" s="11" t="s">
        <v>170</v>
      </c>
      <c r="L363" s="11" t="s">
        <v>171</v>
      </c>
      <c r="M363" s="11" t="s">
        <v>106</v>
      </c>
      <c r="N363" s="11" t="s">
        <v>38</v>
      </c>
      <c r="O363" s="11" t="s">
        <v>39</v>
      </c>
      <c r="P363" s="11" t="s">
        <v>652</v>
      </c>
      <c r="Q363" s="13">
        <v>20.7</v>
      </c>
      <c r="R363" s="11">
        <v>2</v>
      </c>
      <c r="S363" s="16">
        <v>0</v>
      </c>
      <c r="T363" s="13">
        <v>9.9359999999999999</v>
      </c>
      <c r="U363" s="1" t="str">
        <f t="shared" si="16"/>
        <v>Profit</v>
      </c>
      <c r="V363" s="1" t="str">
        <f t="shared" si="17"/>
        <v>Low</v>
      </c>
    </row>
    <row r="364" spans="1:22" x14ac:dyDescent="0.35">
      <c r="A364" s="11">
        <v>363</v>
      </c>
      <c r="B364" s="10">
        <v>41908</v>
      </c>
      <c r="C364" s="11">
        <v>2014</v>
      </c>
      <c r="D364" s="12" t="s">
        <v>108</v>
      </c>
      <c r="E364" s="10">
        <v>41914</v>
      </c>
      <c r="F364" s="11">
        <f t="shared" si="15"/>
        <v>6</v>
      </c>
      <c r="G364" s="11" t="s">
        <v>42</v>
      </c>
      <c r="H364" s="11" t="s">
        <v>653</v>
      </c>
      <c r="I364" s="11" t="s">
        <v>23</v>
      </c>
      <c r="J364" s="11" t="s">
        <v>890</v>
      </c>
      <c r="K364" s="11" t="s">
        <v>170</v>
      </c>
      <c r="L364" s="11" t="s">
        <v>171</v>
      </c>
      <c r="M364" s="11" t="s">
        <v>106</v>
      </c>
      <c r="N364" s="11" t="s">
        <v>27</v>
      </c>
      <c r="O364" s="11" t="s">
        <v>30</v>
      </c>
      <c r="P364" s="11" t="s">
        <v>654</v>
      </c>
      <c r="Q364" s="13">
        <v>488.64600000000002</v>
      </c>
      <c r="R364" s="11">
        <v>3</v>
      </c>
      <c r="S364" s="16">
        <v>0.1</v>
      </c>
      <c r="T364" s="13">
        <v>86.870400000000004</v>
      </c>
      <c r="U364" s="1" t="str">
        <f t="shared" si="16"/>
        <v>Profit</v>
      </c>
      <c r="V364" s="1" t="str">
        <f t="shared" si="17"/>
        <v>Low</v>
      </c>
    </row>
    <row r="365" spans="1:22" x14ac:dyDescent="0.35">
      <c r="A365" s="11">
        <v>364</v>
      </c>
      <c r="B365" s="10">
        <v>41908</v>
      </c>
      <c r="C365" s="11">
        <v>2014</v>
      </c>
      <c r="D365" s="12" t="s">
        <v>108</v>
      </c>
      <c r="E365" s="10">
        <v>41914</v>
      </c>
      <c r="F365" s="11">
        <f t="shared" si="15"/>
        <v>6</v>
      </c>
      <c r="G365" s="11" t="s">
        <v>42</v>
      </c>
      <c r="H365" s="11" t="s">
        <v>653</v>
      </c>
      <c r="I365" s="11" t="s">
        <v>23</v>
      </c>
      <c r="J365" s="11" t="s">
        <v>890</v>
      </c>
      <c r="K365" s="11" t="s">
        <v>170</v>
      </c>
      <c r="L365" s="11" t="s">
        <v>171</v>
      </c>
      <c r="M365" s="11" t="s">
        <v>106</v>
      </c>
      <c r="N365" s="11" t="s">
        <v>38</v>
      </c>
      <c r="O365" s="11" t="s">
        <v>53</v>
      </c>
      <c r="P365" s="11" t="s">
        <v>655</v>
      </c>
      <c r="Q365" s="13">
        <v>5.56</v>
      </c>
      <c r="R365" s="11">
        <v>2</v>
      </c>
      <c r="S365" s="16">
        <v>0</v>
      </c>
      <c r="T365" s="13">
        <v>1.4456</v>
      </c>
      <c r="U365" s="1" t="str">
        <f t="shared" si="16"/>
        <v>Profit</v>
      </c>
      <c r="V365" s="1" t="str">
        <f t="shared" si="17"/>
        <v>Low</v>
      </c>
    </row>
    <row r="366" spans="1:22" x14ac:dyDescent="0.35">
      <c r="A366" s="11">
        <v>365</v>
      </c>
      <c r="B366" s="10">
        <v>41908</v>
      </c>
      <c r="C366" s="11">
        <v>2014</v>
      </c>
      <c r="D366" s="12" t="s">
        <v>108</v>
      </c>
      <c r="E366" s="10">
        <v>41914</v>
      </c>
      <c r="F366" s="11">
        <f t="shared" si="15"/>
        <v>6</v>
      </c>
      <c r="G366" s="11" t="s">
        <v>42</v>
      </c>
      <c r="H366" s="11" t="s">
        <v>653</v>
      </c>
      <c r="I366" s="11" t="s">
        <v>23</v>
      </c>
      <c r="J366" s="11" t="s">
        <v>890</v>
      </c>
      <c r="K366" s="11" t="s">
        <v>170</v>
      </c>
      <c r="L366" s="11" t="s">
        <v>171</v>
      </c>
      <c r="M366" s="11" t="s">
        <v>106</v>
      </c>
      <c r="N366" s="11" t="s">
        <v>27</v>
      </c>
      <c r="O366" s="11" t="s">
        <v>51</v>
      </c>
      <c r="P366" s="11" t="s">
        <v>656</v>
      </c>
      <c r="Q366" s="13">
        <v>47.12</v>
      </c>
      <c r="R366" s="11">
        <v>8</v>
      </c>
      <c r="S366" s="16">
        <v>0</v>
      </c>
      <c r="T366" s="13">
        <v>20.732800000000001</v>
      </c>
      <c r="U366" s="1" t="str">
        <f t="shared" si="16"/>
        <v>Profit</v>
      </c>
      <c r="V366" s="1" t="str">
        <f t="shared" si="17"/>
        <v>Low</v>
      </c>
    </row>
    <row r="367" spans="1:22" x14ac:dyDescent="0.35">
      <c r="A367" s="11">
        <v>366</v>
      </c>
      <c r="B367" s="10">
        <v>40810</v>
      </c>
      <c r="C367" s="11">
        <v>2011</v>
      </c>
      <c r="D367" s="12" t="s">
        <v>108</v>
      </c>
      <c r="E367" s="10">
        <v>40815</v>
      </c>
      <c r="F367" s="11">
        <f t="shared" si="15"/>
        <v>5</v>
      </c>
      <c r="G367" s="11" t="s">
        <v>42</v>
      </c>
      <c r="H367" s="11" t="s">
        <v>657</v>
      </c>
      <c r="I367" s="11" t="s">
        <v>23</v>
      </c>
      <c r="J367" s="11" t="s">
        <v>890</v>
      </c>
      <c r="K367" s="11" t="s">
        <v>93</v>
      </c>
      <c r="L367" s="11" t="s">
        <v>36</v>
      </c>
      <c r="M367" s="11" t="s">
        <v>37</v>
      </c>
      <c r="N367" s="11" t="s">
        <v>38</v>
      </c>
      <c r="O367" s="11" t="s">
        <v>48</v>
      </c>
      <c r="P367" s="11" t="s">
        <v>156</v>
      </c>
      <c r="Q367" s="13">
        <v>211.96</v>
      </c>
      <c r="R367" s="11">
        <v>4</v>
      </c>
      <c r="S367" s="16">
        <v>0</v>
      </c>
      <c r="T367" s="13">
        <v>8.4784000000000006</v>
      </c>
      <c r="U367" s="1" t="str">
        <f t="shared" si="16"/>
        <v>Profit</v>
      </c>
      <c r="V367" s="1" t="str">
        <f t="shared" si="17"/>
        <v>Low</v>
      </c>
    </row>
    <row r="368" spans="1:22" x14ac:dyDescent="0.35">
      <c r="A368" s="11">
        <v>367</v>
      </c>
      <c r="B368" s="10">
        <v>41569</v>
      </c>
      <c r="C368" s="11">
        <v>2013</v>
      </c>
      <c r="D368" s="12" t="s">
        <v>41</v>
      </c>
      <c r="E368" s="10">
        <v>41569</v>
      </c>
      <c r="F368" s="11">
        <f t="shared" si="15"/>
        <v>0</v>
      </c>
      <c r="G368" s="11" t="s">
        <v>658</v>
      </c>
      <c r="H368" s="11" t="s">
        <v>659</v>
      </c>
      <c r="I368" s="11" t="s">
        <v>34</v>
      </c>
      <c r="J368" s="11" t="s">
        <v>890</v>
      </c>
      <c r="K368" s="11" t="s">
        <v>660</v>
      </c>
      <c r="L368" s="11" t="s">
        <v>405</v>
      </c>
      <c r="M368" s="11" t="s">
        <v>106</v>
      </c>
      <c r="N368" s="11" t="s">
        <v>38</v>
      </c>
      <c r="O368" s="11" t="s">
        <v>58</v>
      </c>
      <c r="P368" s="11" t="s">
        <v>661</v>
      </c>
      <c r="Q368" s="13">
        <v>23.2</v>
      </c>
      <c r="R368" s="11">
        <v>4</v>
      </c>
      <c r="S368" s="16">
        <v>0</v>
      </c>
      <c r="T368" s="13">
        <v>10.44</v>
      </c>
      <c r="U368" s="1" t="str">
        <f t="shared" si="16"/>
        <v>Profit</v>
      </c>
      <c r="V368" s="1" t="str">
        <f t="shared" si="17"/>
        <v>Low</v>
      </c>
    </row>
    <row r="369" spans="1:22" x14ac:dyDescent="0.35">
      <c r="A369" s="11">
        <v>368</v>
      </c>
      <c r="B369" s="10">
        <v>41569</v>
      </c>
      <c r="C369" s="11">
        <v>2013</v>
      </c>
      <c r="D369" s="12" t="s">
        <v>41</v>
      </c>
      <c r="E369" s="10">
        <v>41569</v>
      </c>
      <c r="F369" s="11">
        <f t="shared" si="15"/>
        <v>0</v>
      </c>
      <c r="G369" s="11" t="s">
        <v>658</v>
      </c>
      <c r="H369" s="11" t="s">
        <v>659</v>
      </c>
      <c r="I369" s="11" t="s">
        <v>34</v>
      </c>
      <c r="J369" s="11" t="s">
        <v>890</v>
      </c>
      <c r="K369" s="11" t="s">
        <v>660</v>
      </c>
      <c r="L369" s="11" t="s">
        <v>405</v>
      </c>
      <c r="M369" s="11" t="s">
        <v>106</v>
      </c>
      <c r="N369" s="11" t="s">
        <v>38</v>
      </c>
      <c r="O369" s="11" t="s">
        <v>324</v>
      </c>
      <c r="P369" s="11" t="s">
        <v>127</v>
      </c>
      <c r="Q369" s="13">
        <v>7.36</v>
      </c>
      <c r="R369" s="11">
        <v>2</v>
      </c>
      <c r="S369" s="16">
        <v>0</v>
      </c>
      <c r="T369" s="13">
        <v>0.1472</v>
      </c>
      <c r="U369" s="1" t="str">
        <f t="shared" si="16"/>
        <v>Profit</v>
      </c>
      <c r="V369" s="1" t="str">
        <f t="shared" si="17"/>
        <v>Low</v>
      </c>
    </row>
    <row r="370" spans="1:22" x14ac:dyDescent="0.35">
      <c r="A370" s="11">
        <v>369</v>
      </c>
      <c r="B370" s="10">
        <v>41569</v>
      </c>
      <c r="C370" s="11">
        <v>2013</v>
      </c>
      <c r="D370" s="12" t="s">
        <v>41</v>
      </c>
      <c r="E370" s="10">
        <v>41569</v>
      </c>
      <c r="F370" s="11">
        <f t="shared" si="15"/>
        <v>0</v>
      </c>
      <c r="G370" s="11" t="s">
        <v>658</v>
      </c>
      <c r="H370" s="11" t="s">
        <v>659</v>
      </c>
      <c r="I370" s="11" t="s">
        <v>34</v>
      </c>
      <c r="J370" s="11" t="s">
        <v>890</v>
      </c>
      <c r="K370" s="11" t="s">
        <v>660</v>
      </c>
      <c r="L370" s="11" t="s">
        <v>405</v>
      </c>
      <c r="M370" s="11" t="s">
        <v>106</v>
      </c>
      <c r="N370" s="11" t="s">
        <v>38</v>
      </c>
      <c r="O370" s="11" t="s">
        <v>48</v>
      </c>
      <c r="P370" s="11" t="s">
        <v>662</v>
      </c>
      <c r="Q370" s="13">
        <v>104.79</v>
      </c>
      <c r="R370" s="11">
        <v>7</v>
      </c>
      <c r="S370" s="16">
        <v>0</v>
      </c>
      <c r="T370" s="13">
        <v>29.341200000000001</v>
      </c>
      <c r="U370" s="1" t="str">
        <f t="shared" si="16"/>
        <v>Profit</v>
      </c>
      <c r="V370" s="1" t="str">
        <f t="shared" si="17"/>
        <v>Low</v>
      </c>
    </row>
    <row r="371" spans="1:22" x14ac:dyDescent="0.35">
      <c r="A371" s="11">
        <v>370</v>
      </c>
      <c r="B371" s="10">
        <v>41569</v>
      </c>
      <c r="C371" s="11">
        <v>2013</v>
      </c>
      <c r="D371" s="12" t="s">
        <v>41</v>
      </c>
      <c r="E371" s="10">
        <v>41569</v>
      </c>
      <c r="F371" s="11">
        <f t="shared" si="15"/>
        <v>0</v>
      </c>
      <c r="G371" s="11" t="s">
        <v>658</v>
      </c>
      <c r="H371" s="11" t="s">
        <v>659</v>
      </c>
      <c r="I371" s="11" t="s">
        <v>34</v>
      </c>
      <c r="J371" s="11" t="s">
        <v>890</v>
      </c>
      <c r="K371" s="11" t="s">
        <v>660</v>
      </c>
      <c r="L371" s="11" t="s">
        <v>405</v>
      </c>
      <c r="M371" s="11" t="s">
        <v>106</v>
      </c>
      <c r="N371" s="11" t="s">
        <v>27</v>
      </c>
      <c r="O371" s="11" t="s">
        <v>28</v>
      </c>
      <c r="P371" s="11" t="s">
        <v>135</v>
      </c>
      <c r="Q371" s="13">
        <v>1043.92</v>
      </c>
      <c r="R371" s="11">
        <v>4</v>
      </c>
      <c r="S371" s="16">
        <v>0</v>
      </c>
      <c r="T371" s="13">
        <v>271.41919999999999</v>
      </c>
      <c r="U371" s="1" t="str">
        <f t="shared" si="16"/>
        <v>Profit</v>
      </c>
      <c r="V371" s="1" t="str">
        <f t="shared" si="17"/>
        <v>High</v>
      </c>
    </row>
    <row r="372" spans="1:22" x14ac:dyDescent="0.35">
      <c r="A372" s="11">
        <v>371</v>
      </c>
      <c r="B372" s="10">
        <v>41789</v>
      </c>
      <c r="C372" s="11">
        <v>2014</v>
      </c>
      <c r="D372" s="12" t="s">
        <v>86</v>
      </c>
      <c r="E372" s="10">
        <v>41795</v>
      </c>
      <c r="F372" s="11">
        <f t="shared" si="15"/>
        <v>6</v>
      </c>
      <c r="G372" s="11" t="s">
        <v>42</v>
      </c>
      <c r="H372" s="11" t="s">
        <v>663</v>
      </c>
      <c r="I372" s="11" t="s">
        <v>23</v>
      </c>
      <c r="J372" s="11" t="s">
        <v>890</v>
      </c>
      <c r="K372" s="11" t="s">
        <v>664</v>
      </c>
      <c r="L372" s="11" t="s">
        <v>78</v>
      </c>
      <c r="M372" s="11" t="s">
        <v>79</v>
      </c>
      <c r="N372" s="11" t="s">
        <v>38</v>
      </c>
      <c r="O372" s="11" t="s">
        <v>68</v>
      </c>
      <c r="P372" s="11" t="s">
        <v>665</v>
      </c>
      <c r="Q372" s="13">
        <v>25.92</v>
      </c>
      <c r="R372" s="11">
        <v>5</v>
      </c>
      <c r="S372" s="16">
        <v>0.2</v>
      </c>
      <c r="T372" s="13">
        <v>9.3960000000000008</v>
      </c>
      <c r="U372" s="1" t="str">
        <f t="shared" si="16"/>
        <v>Profit</v>
      </c>
      <c r="V372" s="1" t="str">
        <f t="shared" si="17"/>
        <v>Low</v>
      </c>
    </row>
    <row r="373" spans="1:22" x14ac:dyDescent="0.35">
      <c r="A373" s="11">
        <v>372</v>
      </c>
      <c r="B373" s="10">
        <v>41789</v>
      </c>
      <c r="C373" s="11">
        <v>2014</v>
      </c>
      <c r="D373" s="12" t="s">
        <v>86</v>
      </c>
      <c r="E373" s="10">
        <v>41795</v>
      </c>
      <c r="F373" s="11">
        <f t="shared" si="15"/>
        <v>6</v>
      </c>
      <c r="G373" s="11" t="s">
        <v>42</v>
      </c>
      <c r="H373" s="11" t="s">
        <v>663</v>
      </c>
      <c r="I373" s="11" t="s">
        <v>23</v>
      </c>
      <c r="J373" s="11" t="s">
        <v>890</v>
      </c>
      <c r="K373" s="11" t="s">
        <v>664</v>
      </c>
      <c r="L373" s="11" t="s">
        <v>78</v>
      </c>
      <c r="M373" s="11" t="s">
        <v>79</v>
      </c>
      <c r="N373" s="11" t="s">
        <v>38</v>
      </c>
      <c r="O373" s="11" t="s">
        <v>48</v>
      </c>
      <c r="P373" s="11" t="s">
        <v>666</v>
      </c>
      <c r="Q373" s="13">
        <v>53.423999999999999</v>
      </c>
      <c r="R373" s="11">
        <v>3</v>
      </c>
      <c r="S373" s="16">
        <v>0.2</v>
      </c>
      <c r="T373" s="13">
        <v>4.6745999999999999</v>
      </c>
      <c r="U373" s="1" t="str">
        <f t="shared" si="16"/>
        <v>Profit</v>
      </c>
      <c r="V373" s="1" t="str">
        <f t="shared" si="17"/>
        <v>Low</v>
      </c>
    </row>
    <row r="374" spans="1:22" x14ac:dyDescent="0.35">
      <c r="A374" s="11">
        <v>373</v>
      </c>
      <c r="B374" s="10">
        <v>40747</v>
      </c>
      <c r="C374" s="11">
        <v>2011</v>
      </c>
      <c r="D374" s="12" t="s">
        <v>102</v>
      </c>
      <c r="E374" s="10">
        <v>40751</v>
      </c>
      <c r="F374" s="11">
        <f t="shared" si="15"/>
        <v>4</v>
      </c>
      <c r="G374" s="11" t="s">
        <v>42</v>
      </c>
      <c r="H374" s="11" t="s">
        <v>667</v>
      </c>
      <c r="I374" s="11" t="s">
        <v>23</v>
      </c>
      <c r="J374" s="11" t="s">
        <v>890</v>
      </c>
      <c r="K374" s="11" t="s">
        <v>668</v>
      </c>
      <c r="L374" s="11" t="s">
        <v>193</v>
      </c>
      <c r="M374" s="11" t="s">
        <v>37</v>
      </c>
      <c r="N374" s="11" t="s">
        <v>38</v>
      </c>
      <c r="O374" s="11" t="s">
        <v>58</v>
      </c>
      <c r="P374" s="11" t="s">
        <v>621</v>
      </c>
      <c r="Q374" s="13">
        <v>8.16</v>
      </c>
      <c r="R374" s="11">
        <v>5</v>
      </c>
      <c r="S374" s="16">
        <v>0.7</v>
      </c>
      <c r="T374" s="13">
        <v>-5.7119999999999997</v>
      </c>
      <c r="U374" s="1" t="str">
        <f t="shared" si="16"/>
        <v>Loss</v>
      </c>
      <c r="V374" s="1" t="str">
        <f t="shared" si="17"/>
        <v>Low</v>
      </c>
    </row>
    <row r="375" spans="1:22" x14ac:dyDescent="0.35">
      <c r="A375" s="11">
        <v>374</v>
      </c>
      <c r="B375" s="10">
        <v>40747</v>
      </c>
      <c r="C375" s="11">
        <v>2011</v>
      </c>
      <c r="D375" s="12" t="s">
        <v>102</v>
      </c>
      <c r="E375" s="10">
        <v>40751</v>
      </c>
      <c r="F375" s="11">
        <f t="shared" si="15"/>
        <v>4</v>
      </c>
      <c r="G375" s="11" t="s">
        <v>42</v>
      </c>
      <c r="H375" s="11" t="s">
        <v>667</v>
      </c>
      <c r="I375" s="11" t="s">
        <v>23</v>
      </c>
      <c r="J375" s="11" t="s">
        <v>890</v>
      </c>
      <c r="K375" s="11" t="s">
        <v>668</v>
      </c>
      <c r="L375" s="11" t="s">
        <v>193</v>
      </c>
      <c r="M375" s="11" t="s">
        <v>37</v>
      </c>
      <c r="N375" s="11" t="s">
        <v>55</v>
      </c>
      <c r="O375" s="11" t="s">
        <v>114</v>
      </c>
      <c r="P375" s="11" t="s">
        <v>669</v>
      </c>
      <c r="Q375" s="13">
        <v>1023.936</v>
      </c>
      <c r="R375" s="11">
        <v>8</v>
      </c>
      <c r="S375" s="16">
        <v>0.2</v>
      </c>
      <c r="T375" s="13">
        <v>179.18879999999999</v>
      </c>
      <c r="U375" s="1" t="str">
        <f t="shared" si="16"/>
        <v>Profit</v>
      </c>
      <c r="V375" s="1" t="str">
        <f t="shared" si="17"/>
        <v>High</v>
      </c>
    </row>
    <row r="376" spans="1:22" x14ac:dyDescent="0.35">
      <c r="A376" s="11">
        <v>375</v>
      </c>
      <c r="B376" s="10">
        <v>40747</v>
      </c>
      <c r="C376" s="11">
        <v>2011</v>
      </c>
      <c r="D376" s="12" t="s">
        <v>102</v>
      </c>
      <c r="E376" s="10">
        <v>40751</v>
      </c>
      <c r="F376" s="11">
        <f t="shared" si="15"/>
        <v>4</v>
      </c>
      <c r="G376" s="11" t="s">
        <v>42</v>
      </c>
      <c r="H376" s="11" t="s">
        <v>667</v>
      </c>
      <c r="I376" s="11" t="s">
        <v>23</v>
      </c>
      <c r="J376" s="11" t="s">
        <v>890</v>
      </c>
      <c r="K376" s="11" t="s">
        <v>668</v>
      </c>
      <c r="L376" s="11" t="s">
        <v>193</v>
      </c>
      <c r="M376" s="11" t="s">
        <v>37</v>
      </c>
      <c r="N376" s="11" t="s">
        <v>38</v>
      </c>
      <c r="O376" s="11" t="s">
        <v>53</v>
      </c>
      <c r="P376" s="11" t="s">
        <v>670</v>
      </c>
      <c r="Q376" s="13">
        <v>9.24</v>
      </c>
      <c r="R376" s="11">
        <v>1</v>
      </c>
      <c r="S376" s="16">
        <v>0.2</v>
      </c>
      <c r="T376" s="13">
        <v>0.92400000000000004</v>
      </c>
      <c r="U376" s="1" t="str">
        <f t="shared" si="16"/>
        <v>Profit</v>
      </c>
      <c r="V376" s="1" t="str">
        <f t="shared" si="17"/>
        <v>Low</v>
      </c>
    </row>
    <row r="377" spans="1:22" x14ac:dyDescent="0.35">
      <c r="A377" s="11">
        <v>376</v>
      </c>
      <c r="B377" s="10">
        <v>40747</v>
      </c>
      <c r="C377" s="11">
        <v>2011</v>
      </c>
      <c r="D377" s="12" t="s">
        <v>102</v>
      </c>
      <c r="E377" s="10">
        <v>40751</v>
      </c>
      <c r="F377" s="11">
        <f t="shared" si="15"/>
        <v>4</v>
      </c>
      <c r="G377" s="11" t="s">
        <v>42</v>
      </c>
      <c r="H377" s="11" t="s">
        <v>667</v>
      </c>
      <c r="I377" s="11" t="s">
        <v>23</v>
      </c>
      <c r="J377" s="11" t="s">
        <v>890</v>
      </c>
      <c r="K377" s="11" t="s">
        <v>668</v>
      </c>
      <c r="L377" s="11" t="s">
        <v>193</v>
      </c>
      <c r="M377" s="11" t="s">
        <v>37</v>
      </c>
      <c r="N377" s="11" t="s">
        <v>55</v>
      </c>
      <c r="O377" s="11" t="s">
        <v>114</v>
      </c>
      <c r="P377" s="11" t="s">
        <v>671</v>
      </c>
      <c r="Q377" s="13">
        <v>479.04</v>
      </c>
      <c r="R377" s="11">
        <v>10</v>
      </c>
      <c r="S377" s="16">
        <v>0.2</v>
      </c>
      <c r="T377" s="13">
        <v>-29.94</v>
      </c>
      <c r="U377" s="1" t="str">
        <f t="shared" si="16"/>
        <v>Loss</v>
      </c>
      <c r="V377" s="1" t="str">
        <f t="shared" si="17"/>
        <v>Low</v>
      </c>
    </row>
    <row r="378" spans="1:22" x14ac:dyDescent="0.35">
      <c r="A378" s="11">
        <v>377</v>
      </c>
      <c r="B378" s="10">
        <v>41546</v>
      </c>
      <c r="C378" s="11">
        <v>2013</v>
      </c>
      <c r="D378" s="12" t="s">
        <v>108</v>
      </c>
      <c r="E378" s="10">
        <v>41549</v>
      </c>
      <c r="F378" s="11">
        <f t="shared" si="15"/>
        <v>3</v>
      </c>
      <c r="G378" s="11" t="s">
        <v>128</v>
      </c>
      <c r="H378" s="11" t="s">
        <v>672</v>
      </c>
      <c r="I378" s="11" t="s">
        <v>34</v>
      </c>
      <c r="J378" s="11" t="s">
        <v>890</v>
      </c>
      <c r="K378" s="11" t="s">
        <v>673</v>
      </c>
      <c r="L378" s="11" t="s">
        <v>140</v>
      </c>
      <c r="M378" s="11" t="s">
        <v>79</v>
      </c>
      <c r="N378" s="11" t="s">
        <v>38</v>
      </c>
      <c r="O378" s="11" t="s">
        <v>68</v>
      </c>
      <c r="P378" s="11" t="s">
        <v>674</v>
      </c>
      <c r="Q378" s="13">
        <v>99.135999999999996</v>
      </c>
      <c r="R378" s="11">
        <v>4</v>
      </c>
      <c r="S378" s="16">
        <v>0.2</v>
      </c>
      <c r="T378" s="13">
        <v>30.98</v>
      </c>
      <c r="U378" s="1" t="str">
        <f t="shared" si="16"/>
        <v>Profit</v>
      </c>
      <c r="V378" s="1" t="str">
        <f t="shared" si="17"/>
        <v>Low</v>
      </c>
    </row>
    <row r="379" spans="1:22" x14ac:dyDescent="0.35">
      <c r="A379" s="11">
        <v>378</v>
      </c>
      <c r="B379" s="10">
        <v>41879</v>
      </c>
      <c r="C379" s="11">
        <v>2014</v>
      </c>
      <c r="D379" s="12" t="s">
        <v>91</v>
      </c>
      <c r="E379" s="10">
        <v>41884</v>
      </c>
      <c r="F379" s="11">
        <f t="shared" si="15"/>
        <v>5</v>
      </c>
      <c r="G379" s="11" t="s">
        <v>42</v>
      </c>
      <c r="H379" s="11" t="s">
        <v>675</v>
      </c>
      <c r="I379" s="11" t="s">
        <v>34</v>
      </c>
      <c r="J379" s="11" t="s">
        <v>890</v>
      </c>
      <c r="K379" s="11" t="s">
        <v>341</v>
      </c>
      <c r="L379" s="11" t="s">
        <v>638</v>
      </c>
      <c r="M379" s="11" t="s">
        <v>106</v>
      </c>
      <c r="N379" s="11" t="s">
        <v>27</v>
      </c>
      <c r="O379" s="11" t="s">
        <v>46</v>
      </c>
      <c r="P379" s="11" t="s">
        <v>676</v>
      </c>
      <c r="Q379" s="13">
        <v>1488.424</v>
      </c>
      <c r="R379" s="11">
        <v>7</v>
      </c>
      <c r="S379" s="16">
        <v>0.3</v>
      </c>
      <c r="T379" s="13">
        <v>-297.6848</v>
      </c>
      <c r="U379" s="1" t="str">
        <f t="shared" si="16"/>
        <v>Loss</v>
      </c>
      <c r="V379" s="1" t="str">
        <f t="shared" si="17"/>
        <v>High</v>
      </c>
    </row>
    <row r="380" spans="1:22" x14ac:dyDescent="0.35">
      <c r="A380" s="11">
        <v>379</v>
      </c>
      <c r="B380" s="10">
        <v>41027</v>
      </c>
      <c r="C380" s="11">
        <v>2012</v>
      </c>
      <c r="D380" s="12" t="s">
        <v>64</v>
      </c>
      <c r="E380" s="10">
        <v>41034</v>
      </c>
      <c r="F380" s="11">
        <f t="shared" si="15"/>
        <v>7</v>
      </c>
      <c r="G380" s="11" t="s">
        <v>42</v>
      </c>
      <c r="H380" s="11" t="s">
        <v>677</v>
      </c>
      <c r="I380" s="11" t="s">
        <v>23</v>
      </c>
      <c r="J380" s="11" t="s">
        <v>890</v>
      </c>
      <c r="K380" s="11" t="s">
        <v>126</v>
      </c>
      <c r="L380" s="11" t="s">
        <v>78</v>
      </c>
      <c r="M380" s="11" t="s">
        <v>79</v>
      </c>
      <c r="N380" s="11" t="s">
        <v>38</v>
      </c>
      <c r="O380" s="11" t="s">
        <v>60</v>
      </c>
      <c r="P380" s="11" t="s">
        <v>678</v>
      </c>
      <c r="Q380" s="13">
        <v>8.6519999999999992</v>
      </c>
      <c r="R380" s="11">
        <v>3</v>
      </c>
      <c r="S380" s="16">
        <v>0.8</v>
      </c>
      <c r="T380" s="13">
        <v>-20.3322</v>
      </c>
      <c r="U380" s="1" t="str">
        <f t="shared" si="16"/>
        <v>Loss</v>
      </c>
      <c r="V380" s="1" t="str">
        <f t="shared" si="17"/>
        <v>Low</v>
      </c>
    </row>
    <row r="381" spans="1:22" x14ac:dyDescent="0.35">
      <c r="A381" s="11">
        <v>380</v>
      </c>
      <c r="B381" s="10">
        <v>41027</v>
      </c>
      <c r="C381" s="11">
        <v>2012</v>
      </c>
      <c r="D381" s="12" t="s">
        <v>64</v>
      </c>
      <c r="E381" s="10">
        <v>41034</v>
      </c>
      <c r="F381" s="11">
        <f t="shared" si="15"/>
        <v>7</v>
      </c>
      <c r="G381" s="11" t="s">
        <v>42</v>
      </c>
      <c r="H381" s="11" t="s">
        <v>677</v>
      </c>
      <c r="I381" s="11" t="s">
        <v>23</v>
      </c>
      <c r="J381" s="11" t="s">
        <v>890</v>
      </c>
      <c r="K381" s="11" t="s">
        <v>126</v>
      </c>
      <c r="L381" s="11" t="s">
        <v>78</v>
      </c>
      <c r="M381" s="11" t="s">
        <v>79</v>
      </c>
      <c r="N381" s="11" t="s">
        <v>38</v>
      </c>
      <c r="O381" s="11" t="s">
        <v>48</v>
      </c>
      <c r="P381" s="11" t="s">
        <v>679</v>
      </c>
      <c r="Q381" s="13">
        <v>23.832000000000001</v>
      </c>
      <c r="R381" s="11">
        <v>3</v>
      </c>
      <c r="S381" s="16">
        <v>0.2</v>
      </c>
      <c r="T381" s="13">
        <v>2.6810999999999998</v>
      </c>
      <c r="U381" s="1" t="str">
        <f t="shared" si="16"/>
        <v>Profit</v>
      </c>
      <c r="V381" s="1" t="str">
        <f t="shared" si="17"/>
        <v>Low</v>
      </c>
    </row>
    <row r="382" spans="1:22" x14ac:dyDescent="0.35">
      <c r="A382" s="11">
        <v>381</v>
      </c>
      <c r="B382" s="10">
        <v>41027</v>
      </c>
      <c r="C382" s="11">
        <v>2012</v>
      </c>
      <c r="D382" s="12" t="s">
        <v>64</v>
      </c>
      <c r="E382" s="10">
        <v>41034</v>
      </c>
      <c r="F382" s="11">
        <f t="shared" si="15"/>
        <v>7</v>
      </c>
      <c r="G382" s="11" t="s">
        <v>42</v>
      </c>
      <c r="H382" s="11" t="s">
        <v>677</v>
      </c>
      <c r="I382" s="11" t="s">
        <v>23</v>
      </c>
      <c r="J382" s="11" t="s">
        <v>890</v>
      </c>
      <c r="K382" s="11" t="s">
        <v>126</v>
      </c>
      <c r="L382" s="11" t="s">
        <v>78</v>
      </c>
      <c r="M382" s="11" t="s">
        <v>79</v>
      </c>
      <c r="N382" s="11" t="s">
        <v>38</v>
      </c>
      <c r="O382" s="11" t="s">
        <v>58</v>
      </c>
      <c r="P382" s="11" t="s">
        <v>680</v>
      </c>
      <c r="Q382" s="13">
        <v>12.176</v>
      </c>
      <c r="R382" s="11">
        <v>4</v>
      </c>
      <c r="S382" s="16">
        <v>0.8</v>
      </c>
      <c r="T382" s="13">
        <v>-18.872800000000002</v>
      </c>
      <c r="U382" s="1" t="str">
        <f t="shared" si="16"/>
        <v>Loss</v>
      </c>
      <c r="V382" s="1" t="str">
        <f t="shared" si="17"/>
        <v>Low</v>
      </c>
    </row>
    <row r="383" spans="1:22" x14ac:dyDescent="0.35">
      <c r="A383" s="11">
        <v>382</v>
      </c>
      <c r="B383" s="10">
        <v>41576</v>
      </c>
      <c r="C383" s="11">
        <v>2013</v>
      </c>
      <c r="D383" s="12" t="s">
        <v>41</v>
      </c>
      <c r="E383" s="10">
        <v>41577</v>
      </c>
      <c r="F383" s="11">
        <f t="shared" si="15"/>
        <v>1</v>
      </c>
      <c r="G383" s="11" t="s">
        <v>128</v>
      </c>
      <c r="H383" s="11" t="s">
        <v>681</v>
      </c>
      <c r="I383" s="11" t="s">
        <v>34</v>
      </c>
      <c r="J383" s="11" t="s">
        <v>890</v>
      </c>
      <c r="K383" s="11" t="s">
        <v>93</v>
      </c>
      <c r="L383" s="11" t="s">
        <v>36</v>
      </c>
      <c r="M383" s="11" t="s">
        <v>37</v>
      </c>
      <c r="N383" s="11" t="s">
        <v>38</v>
      </c>
      <c r="O383" s="11" t="s">
        <v>68</v>
      </c>
      <c r="P383" s="11" t="s">
        <v>682</v>
      </c>
      <c r="Q383" s="13">
        <v>50.96</v>
      </c>
      <c r="R383" s="11">
        <v>7</v>
      </c>
      <c r="S383" s="16">
        <v>0</v>
      </c>
      <c r="T383" s="13">
        <v>25.48</v>
      </c>
      <c r="U383" s="1" t="str">
        <f t="shared" si="16"/>
        <v>Profit</v>
      </c>
      <c r="V383" s="1" t="str">
        <f t="shared" si="17"/>
        <v>Low</v>
      </c>
    </row>
    <row r="384" spans="1:22" x14ac:dyDescent="0.35">
      <c r="A384" s="11">
        <v>383</v>
      </c>
      <c r="B384" s="10">
        <v>41576</v>
      </c>
      <c r="C384" s="11">
        <v>2013</v>
      </c>
      <c r="D384" s="12" t="s">
        <v>41</v>
      </c>
      <c r="E384" s="10">
        <v>41577</v>
      </c>
      <c r="F384" s="11">
        <f t="shared" si="15"/>
        <v>1</v>
      </c>
      <c r="G384" s="11" t="s">
        <v>128</v>
      </c>
      <c r="H384" s="11" t="s">
        <v>681</v>
      </c>
      <c r="I384" s="11" t="s">
        <v>34</v>
      </c>
      <c r="J384" s="11" t="s">
        <v>890</v>
      </c>
      <c r="K384" s="11" t="s">
        <v>93</v>
      </c>
      <c r="L384" s="11" t="s">
        <v>36</v>
      </c>
      <c r="M384" s="11" t="s">
        <v>37</v>
      </c>
      <c r="N384" s="11" t="s">
        <v>38</v>
      </c>
      <c r="O384" s="11" t="s">
        <v>58</v>
      </c>
      <c r="P384" s="11" t="s">
        <v>683</v>
      </c>
      <c r="Q384" s="13">
        <v>49.536000000000001</v>
      </c>
      <c r="R384" s="11">
        <v>3</v>
      </c>
      <c r="S384" s="16">
        <v>0.2</v>
      </c>
      <c r="T384" s="13">
        <v>17.337599999999998</v>
      </c>
      <c r="U384" s="1" t="str">
        <f t="shared" si="16"/>
        <v>Profit</v>
      </c>
      <c r="V384" s="1" t="str">
        <f t="shared" si="17"/>
        <v>Low</v>
      </c>
    </row>
    <row r="385" spans="1:22" x14ac:dyDescent="0.35">
      <c r="A385" s="11">
        <v>384</v>
      </c>
      <c r="B385" s="10">
        <v>41086</v>
      </c>
      <c r="C385" s="11">
        <v>2012</v>
      </c>
      <c r="D385" s="12" t="s">
        <v>32</v>
      </c>
      <c r="E385" s="10">
        <v>41089</v>
      </c>
      <c r="F385" s="11">
        <f t="shared" si="15"/>
        <v>3</v>
      </c>
      <c r="G385" s="11" t="s">
        <v>21</v>
      </c>
      <c r="H385" s="11" t="s">
        <v>684</v>
      </c>
      <c r="I385" s="11" t="s">
        <v>34</v>
      </c>
      <c r="J385" s="11" t="s">
        <v>890</v>
      </c>
      <c r="K385" s="11" t="s">
        <v>575</v>
      </c>
      <c r="L385" s="11" t="s">
        <v>155</v>
      </c>
      <c r="M385" s="11" t="s">
        <v>79</v>
      </c>
      <c r="N385" s="11" t="s">
        <v>55</v>
      </c>
      <c r="O385" s="11" t="s">
        <v>114</v>
      </c>
      <c r="P385" s="11" t="s">
        <v>685</v>
      </c>
      <c r="Q385" s="13">
        <v>41.9</v>
      </c>
      <c r="R385" s="11">
        <v>2</v>
      </c>
      <c r="S385" s="16">
        <v>0</v>
      </c>
      <c r="T385" s="13">
        <v>8.7989999999999995</v>
      </c>
      <c r="U385" s="1" t="str">
        <f t="shared" si="16"/>
        <v>Profit</v>
      </c>
      <c r="V385" s="1" t="str">
        <f t="shared" si="17"/>
        <v>Low</v>
      </c>
    </row>
    <row r="386" spans="1:22" x14ac:dyDescent="0.35">
      <c r="A386" s="11">
        <v>385</v>
      </c>
      <c r="B386" s="10">
        <v>41240</v>
      </c>
      <c r="C386" s="11">
        <v>2012</v>
      </c>
      <c r="D386" s="12" t="s">
        <v>20</v>
      </c>
      <c r="E386" s="10">
        <v>41245</v>
      </c>
      <c r="F386" s="11">
        <f t="shared" ref="F386:F449" si="18">_xlfn.DAYS(E386,B386)</f>
        <v>5</v>
      </c>
      <c r="G386" s="11" t="s">
        <v>42</v>
      </c>
      <c r="H386" s="11" t="s">
        <v>686</v>
      </c>
      <c r="I386" s="11" t="s">
        <v>23</v>
      </c>
      <c r="J386" s="11" t="s">
        <v>890</v>
      </c>
      <c r="K386" s="11" t="s">
        <v>687</v>
      </c>
      <c r="L386" s="11" t="s">
        <v>45</v>
      </c>
      <c r="M386" s="11" t="s">
        <v>26</v>
      </c>
      <c r="N386" s="11" t="s">
        <v>27</v>
      </c>
      <c r="O386" s="11" t="s">
        <v>46</v>
      </c>
      <c r="P386" s="11" t="s">
        <v>688</v>
      </c>
      <c r="Q386" s="13">
        <v>375.45749999999998</v>
      </c>
      <c r="R386" s="11">
        <v>3</v>
      </c>
      <c r="S386" s="16">
        <v>0.45</v>
      </c>
      <c r="T386" s="13">
        <v>-157.0095</v>
      </c>
      <c r="U386" s="1" t="str">
        <f t="shared" si="16"/>
        <v>Loss</v>
      </c>
      <c r="V386" s="1" t="str">
        <f t="shared" si="17"/>
        <v>Low</v>
      </c>
    </row>
    <row r="387" spans="1:22" x14ac:dyDescent="0.35">
      <c r="A387" s="11">
        <v>386</v>
      </c>
      <c r="B387" s="10">
        <v>41240</v>
      </c>
      <c r="C387" s="11">
        <v>2012</v>
      </c>
      <c r="D387" s="12" t="s">
        <v>20</v>
      </c>
      <c r="E387" s="10">
        <v>41245</v>
      </c>
      <c r="F387" s="11">
        <f t="shared" si="18"/>
        <v>5</v>
      </c>
      <c r="G387" s="11" t="s">
        <v>42</v>
      </c>
      <c r="H387" s="11" t="s">
        <v>686</v>
      </c>
      <c r="I387" s="11" t="s">
        <v>23</v>
      </c>
      <c r="J387" s="11" t="s">
        <v>890</v>
      </c>
      <c r="K387" s="11" t="s">
        <v>687</v>
      </c>
      <c r="L387" s="11" t="s">
        <v>45</v>
      </c>
      <c r="M387" s="11" t="s">
        <v>26</v>
      </c>
      <c r="N387" s="11" t="s">
        <v>55</v>
      </c>
      <c r="O387" s="11" t="s">
        <v>114</v>
      </c>
      <c r="P387" s="11" t="s">
        <v>689</v>
      </c>
      <c r="Q387" s="13">
        <v>83.975999999999999</v>
      </c>
      <c r="R387" s="11">
        <v>3</v>
      </c>
      <c r="S387" s="16">
        <v>0.2</v>
      </c>
      <c r="T387" s="13">
        <v>-1.0497000000000001</v>
      </c>
      <c r="U387" s="1" t="str">
        <f t="shared" ref="U387:U450" si="19">IF(T387&gt;0,"Profit","Loss")</f>
        <v>Loss</v>
      </c>
      <c r="V387" s="1" t="str">
        <f t="shared" ref="V387:V450" si="20">IF(Q387&gt;=1000,"High",IF(Q387&gt;=500,"Medium","Low"))</f>
        <v>Low</v>
      </c>
    </row>
    <row r="388" spans="1:22" x14ac:dyDescent="0.35">
      <c r="A388" s="11">
        <v>387</v>
      </c>
      <c r="B388" s="10">
        <v>41246</v>
      </c>
      <c r="C388" s="11">
        <v>2012</v>
      </c>
      <c r="D388" s="12" t="s">
        <v>70</v>
      </c>
      <c r="E388" s="10">
        <v>41250</v>
      </c>
      <c r="F388" s="11">
        <f t="shared" si="18"/>
        <v>4</v>
      </c>
      <c r="G388" s="11" t="s">
        <v>42</v>
      </c>
      <c r="H388" s="11" t="s">
        <v>690</v>
      </c>
      <c r="I388" s="11" t="s">
        <v>34</v>
      </c>
      <c r="J388" s="11" t="s">
        <v>890</v>
      </c>
      <c r="K388" s="11" t="s">
        <v>104</v>
      </c>
      <c r="L388" s="11" t="s">
        <v>105</v>
      </c>
      <c r="M388" s="11" t="s">
        <v>106</v>
      </c>
      <c r="N388" s="11" t="s">
        <v>55</v>
      </c>
      <c r="O388" s="11" t="s">
        <v>374</v>
      </c>
      <c r="P388" s="11" t="s">
        <v>691</v>
      </c>
      <c r="Q388" s="13">
        <v>482.34</v>
      </c>
      <c r="R388" s="11">
        <v>4</v>
      </c>
      <c r="S388" s="16">
        <v>0.7</v>
      </c>
      <c r="T388" s="13">
        <v>-337.63799999999998</v>
      </c>
      <c r="U388" s="1" t="str">
        <f t="shared" si="19"/>
        <v>Loss</v>
      </c>
      <c r="V388" s="1" t="str">
        <f t="shared" si="20"/>
        <v>Low</v>
      </c>
    </row>
    <row r="389" spans="1:22" x14ac:dyDescent="0.35">
      <c r="A389" s="11">
        <v>388</v>
      </c>
      <c r="B389" s="10">
        <v>41246</v>
      </c>
      <c r="C389" s="11">
        <v>2012</v>
      </c>
      <c r="D389" s="12" t="s">
        <v>70</v>
      </c>
      <c r="E389" s="10">
        <v>41250</v>
      </c>
      <c r="F389" s="11">
        <f t="shared" si="18"/>
        <v>4</v>
      </c>
      <c r="G389" s="11" t="s">
        <v>42</v>
      </c>
      <c r="H389" s="11" t="s">
        <v>690</v>
      </c>
      <c r="I389" s="11" t="s">
        <v>34</v>
      </c>
      <c r="J389" s="11" t="s">
        <v>890</v>
      </c>
      <c r="K389" s="11" t="s">
        <v>104</v>
      </c>
      <c r="L389" s="11" t="s">
        <v>105</v>
      </c>
      <c r="M389" s="11" t="s">
        <v>106</v>
      </c>
      <c r="N389" s="11" t="s">
        <v>27</v>
      </c>
      <c r="O389" s="11" t="s">
        <v>51</v>
      </c>
      <c r="P389" s="11" t="s">
        <v>692</v>
      </c>
      <c r="Q389" s="13">
        <v>2.96</v>
      </c>
      <c r="R389" s="11">
        <v>1</v>
      </c>
      <c r="S389" s="16">
        <v>0.2</v>
      </c>
      <c r="T389" s="13">
        <v>0.77700000000000002</v>
      </c>
      <c r="U389" s="1" t="str">
        <f t="shared" si="19"/>
        <v>Profit</v>
      </c>
      <c r="V389" s="1" t="str">
        <f t="shared" si="20"/>
        <v>Low</v>
      </c>
    </row>
    <row r="390" spans="1:22" x14ac:dyDescent="0.35">
      <c r="A390" s="11">
        <v>389</v>
      </c>
      <c r="B390" s="10">
        <v>40871</v>
      </c>
      <c r="C390" s="11">
        <v>2011</v>
      </c>
      <c r="D390" s="12" t="s">
        <v>20</v>
      </c>
      <c r="E390" s="10">
        <v>40873</v>
      </c>
      <c r="F390" s="11">
        <f t="shared" si="18"/>
        <v>2</v>
      </c>
      <c r="G390" s="11" t="s">
        <v>128</v>
      </c>
      <c r="H390" s="11" t="s">
        <v>693</v>
      </c>
      <c r="I390" s="11" t="s">
        <v>23</v>
      </c>
      <c r="J390" s="11" t="s">
        <v>890</v>
      </c>
      <c r="K390" s="11" t="s">
        <v>527</v>
      </c>
      <c r="L390" s="11" t="s">
        <v>285</v>
      </c>
      <c r="M390" s="11" t="s">
        <v>106</v>
      </c>
      <c r="N390" s="11" t="s">
        <v>38</v>
      </c>
      <c r="O390" s="11" t="s">
        <v>53</v>
      </c>
      <c r="P390" s="11" t="s">
        <v>694</v>
      </c>
      <c r="Q390" s="13">
        <v>2.6240000000000001</v>
      </c>
      <c r="R390" s="11">
        <v>1</v>
      </c>
      <c r="S390" s="16">
        <v>0.2</v>
      </c>
      <c r="T390" s="13">
        <v>0.4264</v>
      </c>
      <c r="U390" s="1" t="str">
        <f t="shared" si="19"/>
        <v>Profit</v>
      </c>
      <c r="V390" s="1" t="str">
        <f t="shared" si="20"/>
        <v>Low</v>
      </c>
    </row>
    <row r="391" spans="1:22" x14ac:dyDescent="0.35">
      <c r="A391" s="11">
        <v>390</v>
      </c>
      <c r="B391" s="10">
        <v>41985</v>
      </c>
      <c r="C391" s="11">
        <v>2014</v>
      </c>
      <c r="D391" s="12" t="s">
        <v>70</v>
      </c>
      <c r="E391" s="10">
        <v>41989</v>
      </c>
      <c r="F391" s="11">
        <f t="shared" si="18"/>
        <v>4</v>
      </c>
      <c r="G391" s="11" t="s">
        <v>42</v>
      </c>
      <c r="H391" s="11" t="s">
        <v>695</v>
      </c>
      <c r="I391" s="11" t="s">
        <v>23</v>
      </c>
      <c r="J391" s="11" t="s">
        <v>890</v>
      </c>
      <c r="K391" s="11" t="s">
        <v>170</v>
      </c>
      <c r="L391" s="11" t="s">
        <v>171</v>
      </c>
      <c r="M391" s="11" t="s">
        <v>106</v>
      </c>
      <c r="N391" s="11" t="s">
        <v>38</v>
      </c>
      <c r="O391" s="11" t="s">
        <v>58</v>
      </c>
      <c r="P391" s="11" t="s">
        <v>696</v>
      </c>
      <c r="Q391" s="13">
        <v>23.36</v>
      </c>
      <c r="R391" s="11">
        <v>4</v>
      </c>
      <c r="S391" s="16">
        <v>0.2</v>
      </c>
      <c r="T391" s="13">
        <v>7.8840000000000003</v>
      </c>
      <c r="U391" s="1" t="str">
        <f t="shared" si="19"/>
        <v>Profit</v>
      </c>
      <c r="V391" s="1" t="str">
        <f t="shared" si="20"/>
        <v>Low</v>
      </c>
    </row>
    <row r="392" spans="1:22" x14ac:dyDescent="0.35">
      <c r="A392" s="11">
        <v>391</v>
      </c>
      <c r="B392" s="10">
        <v>41985</v>
      </c>
      <c r="C392" s="11">
        <v>2014</v>
      </c>
      <c r="D392" s="12" t="s">
        <v>70</v>
      </c>
      <c r="E392" s="10">
        <v>41989</v>
      </c>
      <c r="F392" s="11">
        <f t="shared" si="18"/>
        <v>4</v>
      </c>
      <c r="G392" s="11" t="s">
        <v>42</v>
      </c>
      <c r="H392" s="11" t="s">
        <v>695</v>
      </c>
      <c r="I392" s="11" t="s">
        <v>23</v>
      </c>
      <c r="J392" s="11" t="s">
        <v>890</v>
      </c>
      <c r="K392" s="11" t="s">
        <v>170</v>
      </c>
      <c r="L392" s="11" t="s">
        <v>171</v>
      </c>
      <c r="M392" s="11" t="s">
        <v>106</v>
      </c>
      <c r="N392" s="11" t="s">
        <v>55</v>
      </c>
      <c r="O392" s="11" t="s">
        <v>114</v>
      </c>
      <c r="P392" s="11" t="s">
        <v>233</v>
      </c>
      <c r="Q392" s="13">
        <v>39.979999999999997</v>
      </c>
      <c r="R392" s="11">
        <v>2</v>
      </c>
      <c r="S392" s="16">
        <v>0</v>
      </c>
      <c r="T392" s="13">
        <v>13.5932</v>
      </c>
      <c r="U392" s="1" t="str">
        <f t="shared" si="19"/>
        <v>Profit</v>
      </c>
      <c r="V392" s="1" t="str">
        <f t="shared" si="20"/>
        <v>Low</v>
      </c>
    </row>
    <row r="393" spans="1:22" x14ac:dyDescent="0.35">
      <c r="A393" s="11">
        <v>392</v>
      </c>
      <c r="B393" s="10">
        <v>40807</v>
      </c>
      <c r="C393" s="11">
        <v>2011</v>
      </c>
      <c r="D393" s="12" t="s">
        <v>108</v>
      </c>
      <c r="E393" s="10">
        <v>40809</v>
      </c>
      <c r="F393" s="11">
        <f t="shared" si="18"/>
        <v>2</v>
      </c>
      <c r="G393" s="11" t="s">
        <v>21</v>
      </c>
      <c r="H393" s="11" t="s">
        <v>697</v>
      </c>
      <c r="I393" s="11" t="s">
        <v>23</v>
      </c>
      <c r="J393" s="11" t="s">
        <v>890</v>
      </c>
      <c r="K393" s="11" t="s">
        <v>698</v>
      </c>
      <c r="L393" s="11" t="s">
        <v>73</v>
      </c>
      <c r="M393" s="11" t="s">
        <v>37</v>
      </c>
      <c r="N393" s="11" t="s">
        <v>55</v>
      </c>
      <c r="O393" s="11" t="s">
        <v>56</v>
      </c>
      <c r="P393" s="11" t="s">
        <v>699</v>
      </c>
      <c r="Q393" s="13">
        <v>246.38399999999999</v>
      </c>
      <c r="R393" s="11">
        <v>2</v>
      </c>
      <c r="S393" s="16">
        <v>0.2</v>
      </c>
      <c r="T393" s="13">
        <v>27.7182</v>
      </c>
      <c r="U393" s="1" t="str">
        <f t="shared" si="19"/>
        <v>Profit</v>
      </c>
      <c r="V393" s="1" t="str">
        <f t="shared" si="20"/>
        <v>Low</v>
      </c>
    </row>
    <row r="394" spans="1:22" x14ac:dyDescent="0.35">
      <c r="A394" s="11">
        <v>393</v>
      </c>
      <c r="B394" s="10">
        <v>40807</v>
      </c>
      <c r="C394" s="11">
        <v>2011</v>
      </c>
      <c r="D394" s="12" t="s">
        <v>108</v>
      </c>
      <c r="E394" s="10">
        <v>40809</v>
      </c>
      <c r="F394" s="11">
        <f t="shared" si="18"/>
        <v>2</v>
      </c>
      <c r="G394" s="11" t="s">
        <v>21</v>
      </c>
      <c r="H394" s="11" t="s">
        <v>697</v>
      </c>
      <c r="I394" s="11" t="s">
        <v>23</v>
      </c>
      <c r="J394" s="11" t="s">
        <v>890</v>
      </c>
      <c r="K394" s="11" t="s">
        <v>698</v>
      </c>
      <c r="L394" s="11" t="s">
        <v>73</v>
      </c>
      <c r="M394" s="11" t="s">
        <v>37</v>
      </c>
      <c r="N394" s="11" t="s">
        <v>55</v>
      </c>
      <c r="O394" s="11" t="s">
        <v>624</v>
      </c>
      <c r="P394" s="11" t="s">
        <v>700</v>
      </c>
      <c r="Q394" s="13">
        <v>1799.97</v>
      </c>
      <c r="R394" s="11">
        <v>3</v>
      </c>
      <c r="S394" s="16">
        <v>0</v>
      </c>
      <c r="T394" s="13">
        <v>701.98829999999998</v>
      </c>
      <c r="U394" s="1" t="str">
        <f t="shared" si="19"/>
        <v>Profit</v>
      </c>
      <c r="V394" s="1" t="str">
        <f t="shared" si="20"/>
        <v>High</v>
      </c>
    </row>
    <row r="395" spans="1:22" x14ac:dyDescent="0.35">
      <c r="A395" s="11">
        <v>394</v>
      </c>
      <c r="B395" s="10">
        <v>40701</v>
      </c>
      <c r="C395" s="11">
        <v>2011</v>
      </c>
      <c r="D395" s="12" t="s">
        <v>32</v>
      </c>
      <c r="E395" s="10">
        <v>40704</v>
      </c>
      <c r="F395" s="11">
        <f t="shared" si="18"/>
        <v>3</v>
      </c>
      <c r="G395" s="11" t="s">
        <v>21</v>
      </c>
      <c r="H395" s="11" t="s">
        <v>701</v>
      </c>
      <c r="I395" s="11" t="s">
        <v>34</v>
      </c>
      <c r="J395" s="11" t="s">
        <v>890</v>
      </c>
      <c r="K395" s="11" t="s">
        <v>702</v>
      </c>
      <c r="L395" s="11" t="s">
        <v>140</v>
      </c>
      <c r="M395" s="11" t="s">
        <v>79</v>
      </c>
      <c r="N395" s="11" t="s">
        <v>38</v>
      </c>
      <c r="O395" s="11" t="s">
        <v>58</v>
      </c>
      <c r="P395" s="11" t="s">
        <v>703</v>
      </c>
      <c r="Q395" s="13">
        <v>12.462</v>
      </c>
      <c r="R395" s="11">
        <v>3</v>
      </c>
      <c r="S395" s="16">
        <v>0.8</v>
      </c>
      <c r="T395" s="13">
        <v>-20.5623</v>
      </c>
      <c r="U395" s="1" t="str">
        <f t="shared" si="19"/>
        <v>Loss</v>
      </c>
      <c r="V395" s="1" t="str">
        <f t="shared" si="20"/>
        <v>Low</v>
      </c>
    </row>
    <row r="396" spans="1:22" x14ac:dyDescent="0.35">
      <c r="A396" s="11">
        <v>395</v>
      </c>
      <c r="B396" s="10">
        <v>41821</v>
      </c>
      <c r="C396" s="11">
        <v>2014</v>
      </c>
      <c r="D396" s="12" t="s">
        <v>102</v>
      </c>
      <c r="E396" s="10">
        <v>41826</v>
      </c>
      <c r="F396" s="11">
        <f t="shared" si="18"/>
        <v>5</v>
      </c>
      <c r="G396" s="11" t="s">
        <v>42</v>
      </c>
      <c r="H396" s="11" t="s">
        <v>704</v>
      </c>
      <c r="I396" s="11" t="s">
        <v>76</v>
      </c>
      <c r="J396" s="11" t="s">
        <v>890</v>
      </c>
      <c r="K396" s="11" t="s">
        <v>705</v>
      </c>
      <c r="L396" s="11" t="s">
        <v>706</v>
      </c>
      <c r="M396" s="11" t="s">
        <v>37</v>
      </c>
      <c r="N396" s="11" t="s">
        <v>38</v>
      </c>
      <c r="O396" s="11" t="s">
        <v>58</v>
      </c>
      <c r="P396" s="11" t="s">
        <v>707</v>
      </c>
      <c r="Q396" s="13">
        <v>75.792000000000002</v>
      </c>
      <c r="R396" s="11">
        <v>3</v>
      </c>
      <c r="S396" s="16">
        <v>0.2</v>
      </c>
      <c r="T396" s="13">
        <v>25.579799999999999</v>
      </c>
      <c r="U396" s="1" t="str">
        <f t="shared" si="19"/>
        <v>Profit</v>
      </c>
      <c r="V396" s="1" t="str">
        <f t="shared" si="20"/>
        <v>Low</v>
      </c>
    </row>
    <row r="397" spans="1:22" x14ac:dyDescent="0.35">
      <c r="A397" s="11">
        <v>396</v>
      </c>
      <c r="B397" s="10">
        <v>41930</v>
      </c>
      <c r="C397" s="11">
        <v>2014</v>
      </c>
      <c r="D397" s="12" t="s">
        <v>41</v>
      </c>
      <c r="E397" s="10">
        <v>41932</v>
      </c>
      <c r="F397" s="11">
        <f t="shared" si="18"/>
        <v>2</v>
      </c>
      <c r="G397" s="11" t="s">
        <v>21</v>
      </c>
      <c r="H397" s="11" t="s">
        <v>708</v>
      </c>
      <c r="I397" s="11" t="s">
        <v>34</v>
      </c>
      <c r="J397" s="11" t="s">
        <v>890</v>
      </c>
      <c r="K397" s="11" t="s">
        <v>709</v>
      </c>
      <c r="L397" s="11" t="s">
        <v>710</v>
      </c>
      <c r="M397" s="11" t="s">
        <v>106</v>
      </c>
      <c r="N397" s="11" t="s">
        <v>38</v>
      </c>
      <c r="O397" s="11" t="s">
        <v>48</v>
      </c>
      <c r="P397" s="11" t="s">
        <v>711</v>
      </c>
      <c r="Q397" s="13">
        <v>49.96</v>
      </c>
      <c r="R397" s="11">
        <v>2</v>
      </c>
      <c r="S397" s="16">
        <v>0</v>
      </c>
      <c r="T397" s="13">
        <v>9.4923999999999999</v>
      </c>
      <c r="U397" s="1" t="str">
        <f t="shared" si="19"/>
        <v>Profit</v>
      </c>
      <c r="V397" s="1" t="str">
        <f t="shared" si="20"/>
        <v>Low</v>
      </c>
    </row>
    <row r="398" spans="1:22" x14ac:dyDescent="0.35">
      <c r="A398" s="11">
        <v>397</v>
      </c>
      <c r="B398" s="10">
        <v>41930</v>
      </c>
      <c r="C398" s="11">
        <v>2014</v>
      </c>
      <c r="D398" s="12" t="s">
        <v>41</v>
      </c>
      <c r="E398" s="10">
        <v>41932</v>
      </c>
      <c r="F398" s="11">
        <f t="shared" si="18"/>
        <v>2</v>
      </c>
      <c r="G398" s="11" t="s">
        <v>21</v>
      </c>
      <c r="H398" s="11" t="s">
        <v>708</v>
      </c>
      <c r="I398" s="11" t="s">
        <v>34</v>
      </c>
      <c r="J398" s="11" t="s">
        <v>890</v>
      </c>
      <c r="K398" s="11" t="s">
        <v>709</v>
      </c>
      <c r="L398" s="11" t="s">
        <v>710</v>
      </c>
      <c r="M398" s="11" t="s">
        <v>106</v>
      </c>
      <c r="N398" s="11" t="s">
        <v>38</v>
      </c>
      <c r="O398" s="11" t="s">
        <v>68</v>
      </c>
      <c r="P398" s="11" t="s">
        <v>712</v>
      </c>
      <c r="Q398" s="13">
        <v>12.96</v>
      </c>
      <c r="R398" s="11">
        <v>2</v>
      </c>
      <c r="S398" s="16">
        <v>0</v>
      </c>
      <c r="T398" s="13">
        <v>6.2207999999999997</v>
      </c>
      <c r="U398" s="1" t="str">
        <f t="shared" si="19"/>
        <v>Profit</v>
      </c>
      <c r="V398" s="1" t="str">
        <f t="shared" si="20"/>
        <v>Low</v>
      </c>
    </row>
    <row r="399" spans="1:22" x14ac:dyDescent="0.35">
      <c r="A399" s="11">
        <v>398</v>
      </c>
      <c r="B399" s="10">
        <v>41213</v>
      </c>
      <c r="C399" s="11">
        <v>2012</v>
      </c>
      <c r="D399" s="12" t="s">
        <v>41</v>
      </c>
      <c r="E399" s="10">
        <v>41217</v>
      </c>
      <c r="F399" s="11">
        <f t="shared" si="18"/>
        <v>4</v>
      </c>
      <c r="G399" s="11" t="s">
        <v>42</v>
      </c>
      <c r="H399" s="11" t="s">
        <v>75</v>
      </c>
      <c r="I399" s="11" t="s">
        <v>76</v>
      </c>
      <c r="J399" s="11" t="s">
        <v>890</v>
      </c>
      <c r="K399" s="11" t="s">
        <v>202</v>
      </c>
      <c r="L399" s="11" t="s">
        <v>155</v>
      </c>
      <c r="M399" s="11" t="s">
        <v>79</v>
      </c>
      <c r="N399" s="11" t="s">
        <v>38</v>
      </c>
      <c r="O399" s="11" t="s">
        <v>324</v>
      </c>
      <c r="P399" s="11" t="s">
        <v>713</v>
      </c>
      <c r="Q399" s="13">
        <v>70.12</v>
      </c>
      <c r="R399" s="11">
        <v>4</v>
      </c>
      <c r="S399" s="16">
        <v>0</v>
      </c>
      <c r="T399" s="13">
        <v>21.036000000000001</v>
      </c>
      <c r="U399" s="1" t="str">
        <f t="shared" si="19"/>
        <v>Profit</v>
      </c>
      <c r="V399" s="1" t="str">
        <f t="shared" si="20"/>
        <v>Low</v>
      </c>
    </row>
    <row r="400" spans="1:22" x14ac:dyDescent="0.35">
      <c r="A400" s="11">
        <v>399</v>
      </c>
      <c r="B400" s="10">
        <v>41526</v>
      </c>
      <c r="C400" s="11">
        <v>2013</v>
      </c>
      <c r="D400" s="12" t="s">
        <v>108</v>
      </c>
      <c r="E400" s="10">
        <v>41528</v>
      </c>
      <c r="F400" s="11">
        <f t="shared" si="18"/>
        <v>2</v>
      </c>
      <c r="G400" s="11" t="s">
        <v>21</v>
      </c>
      <c r="H400" s="11" t="s">
        <v>714</v>
      </c>
      <c r="I400" s="11" t="s">
        <v>23</v>
      </c>
      <c r="J400" s="11" t="s">
        <v>890</v>
      </c>
      <c r="K400" s="11" t="s">
        <v>126</v>
      </c>
      <c r="L400" s="11" t="s">
        <v>78</v>
      </c>
      <c r="M400" s="11" t="s">
        <v>79</v>
      </c>
      <c r="N400" s="11" t="s">
        <v>38</v>
      </c>
      <c r="O400" s="11" t="s">
        <v>48</v>
      </c>
      <c r="P400" s="11" t="s">
        <v>715</v>
      </c>
      <c r="Q400" s="13">
        <v>35.951999999999998</v>
      </c>
      <c r="R400" s="11">
        <v>3</v>
      </c>
      <c r="S400" s="16">
        <v>0.2</v>
      </c>
      <c r="T400" s="13">
        <v>3.5952000000000002</v>
      </c>
      <c r="U400" s="1" t="str">
        <f t="shared" si="19"/>
        <v>Profit</v>
      </c>
      <c r="V400" s="1" t="str">
        <f t="shared" si="20"/>
        <v>Low</v>
      </c>
    </row>
    <row r="401" spans="1:22" x14ac:dyDescent="0.35">
      <c r="A401" s="11">
        <v>400</v>
      </c>
      <c r="B401" s="10">
        <v>41526</v>
      </c>
      <c r="C401" s="11">
        <v>2013</v>
      </c>
      <c r="D401" s="12" t="s">
        <v>108</v>
      </c>
      <c r="E401" s="10">
        <v>41528</v>
      </c>
      <c r="F401" s="11">
        <f t="shared" si="18"/>
        <v>2</v>
      </c>
      <c r="G401" s="11" t="s">
        <v>21</v>
      </c>
      <c r="H401" s="11" t="s">
        <v>714</v>
      </c>
      <c r="I401" s="11" t="s">
        <v>23</v>
      </c>
      <c r="J401" s="11" t="s">
        <v>890</v>
      </c>
      <c r="K401" s="11" t="s">
        <v>126</v>
      </c>
      <c r="L401" s="11" t="s">
        <v>78</v>
      </c>
      <c r="M401" s="11" t="s">
        <v>79</v>
      </c>
      <c r="N401" s="11" t="s">
        <v>27</v>
      </c>
      <c r="O401" s="11" t="s">
        <v>28</v>
      </c>
      <c r="P401" s="11" t="s">
        <v>117</v>
      </c>
      <c r="Q401" s="13">
        <v>2396.2656000000002</v>
      </c>
      <c r="R401" s="11">
        <v>4</v>
      </c>
      <c r="S401" s="16">
        <v>0.32</v>
      </c>
      <c r="T401" s="13">
        <v>-317.15280000000001</v>
      </c>
      <c r="U401" s="1" t="str">
        <f t="shared" si="19"/>
        <v>Loss</v>
      </c>
      <c r="V401" s="1" t="str">
        <f t="shared" si="20"/>
        <v>High</v>
      </c>
    </row>
    <row r="402" spans="1:22" x14ac:dyDescent="0.35">
      <c r="A402" s="11">
        <v>401</v>
      </c>
      <c r="B402" s="10">
        <v>41526</v>
      </c>
      <c r="C402" s="11">
        <v>2013</v>
      </c>
      <c r="D402" s="12" t="s">
        <v>108</v>
      </c>
      <c r="E402" s="10">
        <v>41528</v>
      </c>
      <c r="F402" s="11">
        <f t="shared" si="18"/>
        <v>2</v>
      </c>
      <c r="G402" s="11" t="s">
        <v>21</v>
      </c>
      <c r="H402" s="11" t="s">
        <v>714</v>
      </c>
      <c r="I402" s="11" t="s">
        <v>23</v>
      </c>
      <c r="J402" s="11" t="s">
        <v>890</v>
      </c>
      <c r="K402" s="11" t="s">
        <v>126</v>
      </c>
      <c r="L402" s="11" t="s">
        <v>78</v>
      </c>
      <c r="M402" s="11" t="s">
        <v>79</v>
      </c>
      <c r="N402" s="11" t="s">
        <v>38</v>
      </c>
      <c r="O402" s="11" t="s">
        <v>48</v>
      </c>
      <c r="P402" s="11" t="s">
        <v>716</v>
      </c>
      <c r="Q402" s="13">
        <v>131.136</v>
      </c>
      <c r="R402" s="11">
        <v>4</v>
      </c>
      <c r="S402" s="16">
        <v>0.2</v>
      </c>
      <c r="T402" s="13">
        <v>-32.783999999999999</v>
      </c>
      <c r="U402" s="1" t="str">
        <f t="shared" si="19"/>
        <v>Loss</v>
      </c>
      <c r="V402" s="1" t="str">
        <f t="shared" si="20"/>
        <v>Low</v>
      </c>
    </row>
    <row r="403" spans="1:22" x14ac:dyDescent="0.35">
      <c r="A403" s="11">
        <v>402</v>
      </c>
      <c r="B403" s="10">
        <v>41526</v>
      </c>
      <c r="C403" s="11">
        <v>2013</v>
      </c>
      <c r="D403" s="12" t="s">
        <v>108</v>
      </c>
      <c r="E403" s="10">
        <v>41528</v>
      </c>
      <c r="F403" s="11">
        <f t="shared" si="18"/>
        <v>2</v>
      </c>
      <c r="G403" s="11" t="s">
        <v>21</v>
      </c>
      <c r="H403" s="11" t="s">
        <v>714</v>
      </c>
      <c r="I403" s="11" t="s">
        <v>23</v>
      </c>
      <c r="J403" s="11" t="s">
        <v>890</v>
      </c>
      <c r="K403" s="11" t="s">
        <v>126</v>
      </c>
      <c r="L403" s="11" t="s">
        <v>78</v>
      </c>
      <c r="M403" s="11" t="s">
        <v>79</v>
      </c>
      <c r="N403" s="11" t="s">
        <v>55</v>
      </c>
      <c r="O403" s="11" t="s">
        <v>114</v>
      </c>
      <c r="P403" s="11" t="s">
        <v>717</v>
      </c>
      <c r="Q403" s="13">
        <v>57.584000000000003</v>
      </c>
      <c r="R403" s="11">
        <v>2</v>
      </c>
      <c r="S403" s="16">
        <v>0.2</v>
      </c>
      <c r="T403" s="13">
        <v>0.7198</v>
      </c>
      <c r="U403" s="1" t="str">
        <f t="shared" si="19"/>
        <v>Profit</v>
      </c>
      <c r="V403" s="1" t="str">
        <f t="shared" si="20"/>
        <v>Low</v>
      </c>
    </row>
    <row r="404" spans="1:22" x14ac:dyDescent="0.35">
      <c r="A404" s="11">
        <v>403</v>
      </c>
      <c r="B404" s="10">
        <v>40901</v>
      </c>
      <c r="C404" s="11">
        <v>2011</v>
      </c>
      <c r="D404" s="12" t="s">
        <v>70</v>
      </c>
      <c r="E404" s="10">
        <v>40903</v>
      </c>
      <c r="F404" s="11">
        <f t="shared" si="18"/>
        <v>2</v>
      </c>
      <c r="G404" s="11" t="s">
        <v>128</v>
      </c>
      <c r="H404" s="11" t="s">
        <v>718</v>
      </c>
      <c r="I404" s="11" t="s">
        <v>23</v>
      </c>
      <c r="J404" s="11" t="s">
        <v>890</v>
      </c>
      <c r="K404" s="11" t="s">
        <v>719</v>
      </c>
      <c r="L404" s="11" t="s">
        <v>45</v>
      </c>
      <c r="M404" s="11" t="s">
        <v>26</v>
      </c>
      <c r="N404" s="11" t="s">
        <v>38</v>
      </c>
      <c r="O404" s="11" t="s">
        <v>68</v>
      </c>
      <c r="P404" s="11" t="s">
        <v>720</v>
      </c>
      <c r="Q404" s="13">
        <v>9.5679999999999996</v>
      </c>
      <c r="R404" s="11">
        <v>2</v>
      </c>
      <c r="S404" s="16">
        <v>0.2</v>
      </c>
      <c r="T404" s="13">
        <v>3.4683999999999999</v>
      </c>
      <c r="U404" s="1" t="str">
        <f t="shared" si="19"/>
        <v>Profit</v>
      </c>
      <c r="V404" s="1" t="str">
        <f t="shared" si="20"/>
        <v>Low</v>
      </c>
    </row>
    <row r="405" spans="1:22" x14ac:dyDescent="0.35">
      <c r="A405" s="11">
        <v>404</v>
      </c>
      <c r="B405" s="10">
        <v>40649</v>
      </c>
      <c r="C405" s="11">
        <v>2011</v>
      </c>
      <c r="D405" s="12" t="s">
        <v>64</v>
      </c>
      <c r="E405" s="10">
        <v>40653</v>
      </c>
      <c r="F405" s="11">
        <f t="shared" si="18"/>
        <v>4</v>
      </c>
      <c r="G405" s="11" t="s">
        <v>42</v>
      </c>
      <c r="H405" s="11" t="s">
        <v>349</v>
      </c>
      <c r="I405" s="11" t="s">
        <v>34</v>
      </c>
      <c r="J405" s="11" t="s">
        <v>890</v>
      </c>
      <c r="K405" s="11" t="s">
        <v>296</v>
      </c>
      <c r="L405" s="11" t="s">
        <v>67</v>
      </c>
      <c r="M405" s="11" t="s">
        <v>26</v>
      </c>
      <c r="N405" s="11" t="s">
        <v>38</v>
      </c>
      <c r="O405" s="11" t="s">
        <v>53</v>
      </c>
      <c r="P405" s="11" t="s">
        <v>721</v>
      </c>
      <c r="Q405" s="13">
        <v>39.072000000000003</v>
      </c>
      <c r="R405" s="11">
        <v>6</v>
      </c>
      <c r="S405" s="16">
        <v>0.2</v>
      </c>
      <c r="T405" s="13">
        <v>9.7680000000000007</v>
      </c>
      <c r="U405" s="1" t="str">
        <f t="shared" si="19"/>
        <v>Profit</v>
      </c>
      <c r="V405" s="1" t="str">
        <f t="shared" si="20"/>
        <v>Low</v>
      </c>
    </row>
    <row r="406" spans="1:22" x14ac:dyDescent="0.35">
      <c r="A406" s="11">
        <v>405</v>
      </c>
      <c r="B406" s="10">
        <v>41998</v>
      </c>
      <c r="C406" s="11">
        <v>2014</v>
      </c>
      <c r="D406" s="12" t="s">
        <v>70</v>
      </c>
      <c r="E406" s="10">
        <v>42003</v>
      </c>
      <c r="F406" s="11">
        <f t="shared" si="18"/>
        <v>5</v>
      </c>
      <c r="G406" s="11" t="s">
        <v>42</v>
      </c>
      <c r="H406" s="11" t="s">
        <v>722</v>
      </c>
      <c r="I406" s="11" t="s">
        <v>23</v>
      </c>
      <c r="J406" s="11" t="s">
        <v>890</v>
      </c>
      <c r="K406" s="11" t="s">
        <v>170</v>
      </c>
      <c r="L406" s="11" t="s">
        <v>171</v>
      </c>
      <c r="M406" s="11" t="s">
        <v>106</v>
      </c>
      <c r="N406" s="11" t="s">
        <v>38</v>
      </c>
      <c r="O406" s="11" t="s">
        <v>60</v>
      </c>
      <c r="P406" s="11" t="s">
        <v>127</v>
      </c>
      <c r="Q406" s="13">
        <v>35.909999999999997</v>
      </c>
      <c r="R406" s="11">
        <v>3</v>
      </c>
      <c r="S406" s="16">
        <v>0</v>
      </c>
      <c r="T406" s="13">
        <v>9.6957000000000004</v>
      </c>
      <c r="U406" s="1" t="str">
        <f t="shared" si="19"/>
        <v>Profit</v>
      </c>
      <c r="V406" s="1" t="str">
        <f t="shared" si="20"/>
        <v>Low</v>
      </c>
    </row>
    <row r="407" spans="1:22" x14ac:dyDescent="0.35">
      <c r="A407" s="11">
        <v>406</v>
      </c>
      <c r="B407" s="10">
        <v>41982</v>
      </c>
      <c r="C407" s="11">
        <v>2014</v>
      </c>
      <c r="D407" s="12" t="s">
        <v>70</v>
      </c>
      <c r="E407" s="10">
        <v>41986</v>
      </c>
      <c r="F407" s="11">
        <f t="shared" si="18"/>
        <v>4</v>
      </c>
      <c r="G407" s="11" t="s">
        <v>42</v>
      </c>
      <c r="H407" s="11" t="s">
        <v>723</v>
      </c>
      <c r="I407" s="11" t="s">
        <v>23</v>
      </c>
      <c r="J407" s="11" t="s">
        <v>890</v>
      </c>
      <c r="K407" s="11" t="s">
        <v>93</v>
      </c>
      <c r="L407" s="11" t="s">
        <v>36</v>
      </c>
      <c r="M407" s="11" t="s">
        <v>37</v>
      </c>
      <c r="N407" s="11" t="s">
        <v>55</v>
      </c>
      <c r="O407" s="11" t="s">
        <v>114</v>
      </c>
      <c r="P407" s="11" t="s">
        <v>717</v>
      </c>
      <c r="Q407" s="13">
        <v>179.95</v>
      </c>
      <c r="R407" s="11">
        <v>5</v>
      </c>
      <c r="S407" s="16">
        <v>0</v>
      </c>
      <c r="T407" s="13">
        <v>37.789499999999997</v>
      </c>
      <c r="U407" s="1" t="str">
        <f t="shared" si="19"/>
        <v>Profit</v>
      </c>
      <c r="V407" s="1" t="str">
        <f t="shared" si="20"/>
        <v>Low</v>
      </c>
    </row>
    <row r="408" spans="1:22" x14ac:dyDescent="0.35">
      <c r="A408" s="11">
        <v>407</v>
      </c>
      <c r="B408" s="10">
        <v>41982</v>
      </c>
      <c r="C408" s="11">
        <v>2014</v>
      </c>
      <c r="D408" s="12" t="s">
        <v>70</v>
      </c>
      <c r="E408" s="10">
        <v>41986</v>
      </c>
      <c r="F408" s="11">
        <f t="shared" si="18"/>
        <v>4</v>
      </c>
      <c r="G408" s="11" t="s">
        <v>42</v>
      </c>
      <c r="H408" s="11" t="s">
        <v>723</v>
      </c>
      <c r="I408" s="11" t="s">
        <v>23</v>
      </c>
      <c r="J408" s="11" t="s">
        <v>890</v>
      </c>
      <c r="K408" s="11" t="s">
        <v>93</v>
      </c>
      <c r="L408" s="11" t="s">
        <v>36</v>
      </c>
      <c r="M408" s="11" t="s">
        <v>37</v>
      </c>
      <c r="N408" s="11" t="s">
        <v>55</v>
      </c>
      <c r="O408" s="11" t="s">
        <v>624</v>
      </c>
      <c r="P408" s="11" t="s">
        <v>724</v>
      </c>
      <c r="Q408" s="13">
        <v>1199.9760000000001</v>
      </c>
      <c r="R408" s="11">
        <v>3</v>
      </c>
      <c r="S408" s="16">
        <v>0.2</v>
      </c>
      <c r="T408" s="13">
        <v>434.99130000000002</v>
      </c>
      <c r="U408" s="1" t="str">
        <f t="shared" si="19"/>
        <v>Profit</v>
      </c>
      <c r="V408" s="1" t="str">
        <f t="shared" si="20"/>
        <v>High</v>
      </c>
    </row>
    <row r="409" spans="1:22" x14ac:dyDescent="0.35">
      <c r="A409" s="11">
        <v>408</v>
      </c>
      <c r="B409" s="10">
        <v>41982</v>
      </c>
      <c r="C409" s="11">
        <v>2014</v>
      </c>
      <c r="D409" s="12" t="s">
        <v>70</v>
      </c>
      <c r="E409" s="10">
        <v>41986</v>
      </c>
      <c r="F409" s="11">
        <f t="shared" si="18"/>
        <v>4</v>
      </c>
      <c r="G409" s="11" t="s">
        <v>42</v>
      </c>
      <c r="H409" s="11" t="s">
        <v>723</v>
      </c>
      <c r="I409" s="11" t="s">
        <v>23</v>
      </c>
      <c r="J409" s="11" t="s">
        <v>890</v>
      </c>
      <c r="K409" s="11" t="s">
        <v>93</v>
      </c>
      <c r="L409" s="11" t="s">
        <v>36</v>
      </c>
      <c r="M409" s="11" t="s">
        <v>37</v>
      </c>
      <c r="N409" s="11" t="s">
        <v>38</v>
      </c>
      <c r="O409" s="11" t="s">
        <v>68</v>
      </c>
      <c r="P409" s="11" t="s">
        <v>725</v>
      </c>
      <c r="Q409" s="13">
        <v>27.15</v>
      </c>
      <c r="R409" s="11">
        <v>5</v>
      </c>
      <c r="S409" s="16">
        <v>0</v>
      </c>
      <c r="T409" s="13">
        <v>13.3035</v>
      </c>
      <c r="U409" s="1" t="str">
        <f t="shared" si="19"/>
        <v>Profit</v>
      </c>
      <c r="V409" s="1" t="str">
        <f t="shared" si="20"/>
        <v>Low</v>
      </c>
    </row>
    <row r="410" spans="1:22" x14ac:dyDescent="0.35">
      <c r="A410" s="11">
        <v>409</v>
      </c>
      <c r="B410" s="10">
        <v>41982</v>
      </c>
      <c r="C410" s="11">
        <v>2014</v>
      </c>
      <c r="D410" s="12" t="s">
        <v>70</v>
      </c>
      <c r="E410" s="10">
        <v>41986</v>
      </c>
      <c r="F410" s="11">
        <f t="shared" si="18"/>
        <v>4</v>
      </c>
      <c r="G410" s="11" t="s">
        <v>42</v>
      </c>
      <c r="H410" s="11" t="s">
        <v>723</v>
      </c>
      <c r="I410" s="11" t="s">
        <v>23</v>
      </c>
      <c r="J410" s="11" t="s">
        <v>890</v>
      </c>
      <c r="K410" s="11" t="s">
        <v>93</v>
      </c>
      <c r="L410" s="11" t="s">
        <v>36</v>
      </c>
      <c r="M410" s="11" t="s">
        <v>37</v>
      </c>
      <c r="N410" s="11" t="s">
        <v>27</v>
      </c>
      <c r="O410" s="11" t="s">
        <v>46</v>
      </c>
      <c r="P410" s="11" t="s">
        <v>726</v>
      </c>
      <c r="Q410" s="13">
        <v>1004.024</v>
      </c>
      <c r="R410" s="11">
        <v>7</v>
      </c>
      <c r="S410" s="16">
        <v>0.2</v>
      </c>
      <c r="T410" s="13">
        <v>-112.95269999999999</v>
      </c>
      <c r="U410" s="1" t="str">
        <f t="shared" si="19"/>
        <v>Loss</v>
      </c>
      <c r="V410" s="1" t="str">
        <f t="shared" si="20"/>
        <v>High</v>
      </c>
    </row>
    <row r="411" spans="1:22" x14ac:dyDescent="0.35">
      <c r="A411" s="11">
        <v>410</v>
      </c>
      <c r="B411" s="10">
        <v>41982</v>
      </c>
      <c r="C411" s="11">
        <v>2014</v>
      </c>
      <c r="D411" s="12" t="s">
        <v>70</v>
      </c>
      <c r="E411" s="10">
        <v>41986</v>
      </c>
      <c r="F411" s="11">
        <f t="shared" si="18"/>
        <v>4</v>
      </c>
      <c r="G411" s="11" t="s">
        <v>42</v>
      </c>
      <c r="H411" s="11" t="s">
        <v>723</v>
      </c>
      <c r="I411" s="11" t="s">
        <v>23</v>
      </c>
      <c r="J411" s="11" t="s">
        <v>890</v>
      </c>
      <c r="K411" s="11" t="s">
        <v>93</v>
      </c>
      <c r="L411" s="11" t="s">
        <v>36</v>
      </c>
      <c r="M411" s="11" t="s">
        <v>37</v>
      </c>
      <c r="N411" s="11" t="s">
        <v>38</v>
      </c>
      <c r="O411" s="11" t="s">
        <v>68</v>
      </c>
      <c r="P411" s="11" t="s">
        <v>727</v>
      </c>
      <c r="Q411" s="13">
        <v>9.68</v>
      </c>
      <c r="R411" s="11">
        <v>1</v>
      </c>
      <c r="S411" s="16">
        <v>0</v>
      </c>
      <c r="T411" s="13">
        <v>4.6463999999999999</v>
      </c>
      <c r="U411" s="1" t="str">
        <f t="shared" si="19"/>
        <v>Profit</v>
      </c>
      <c r="V411" s="1" t="str">
        <f t="shared" si="20"/>
        <v>Low</v>
      </c>
    </row>
    <row r="412" spans="1:22" x14ac:dyDescent="0.35">
      <c r="A412" s="11">
        <v>411</v>
      </c>
      <c r="B412" s="10">
        <v>41982</v>
      </c>
      <c r="C412" s="11">
        <v>2014</v>
      </c>
      <c r="D412" s="12" t="s">
        <v>70</v>
      </c>
      <c r="E412" s="10">
        <v>41986</v>
      </c>
      <c r="F412" s="11">
        <f t="shared" si="18"/>
        <v>4</v>
      </c>
      <c r="G412" s="11" t="s">
        <v>42</v>
      </c>
      <c r="H412" s="11" t="s">
        <v>723</v>
      </c>
      <c r="I412" s="11" t="s">
        <v>23</v>
      </c>
      <c r="J412" s="11" t="s">
        <v>890</v>
      </c>
      <c r="K412" s="11" t="s">
        <v>93</v>
      </c>
      <c r="L412" s="11" t="s">
        <v>36</v>
      </c>
      <c r="M412" s="11" t="s">
        <v>37</v>
      </c>
      <c r="N412" s="11" t="s">
        <v>38</v>
      </c>
      <c r="O412" s="11" t="s">
        <v>39</v>
      </c>
      <c r="P412" s="11" t="s">
        <v>728</v>
      </c>
      <c r="Q412" s="13">
        <v>28.35</v>
      </c>
      <c r="R412" s="11">
        <v>9</v>
      </c>
      <c r="S412" s="16">
        <v>0</v>
      </c>
      <c r="T412" s="13">
        <v>13.608000000000001</v>
      </c>
      <c r="U412" s="1" t="str">
        <f t="shared" si="19"/>
        <v>Profit</v>
      </c>
      <c r="V412" s="1" t="str">
        <f t="shared" si="20"/>
        <v>Low</v>
      </c>
    </row>
    <row r="413" spans="1:22" x14ac:dyDescent="0.35">
      <c r="A413" s="11">
        <v>412</v>
      </c>
      <c r="B413" s="10">
        <v>41982</v>
      </c>
      <c r="C413" s="11">
        <v>2014</v>
      </c>
      <c r="D413" s="12" t="s">
        <v>70</v>
      </c>
      <c r="E413" s="10">
        <v>41986</v>
      </c>
      <c r="F413" s="11">
        <f t="shared" si="18"/>
        <v>4</v>
      </c>
      <c r="G413" s="11" t="s">
        <v>42</v>
      </c>
      <c r="H413" s="11" t="s">
        <v>723</v>
      </c>
      <c r="I413" s="11" t="s">
        <v>23</v>
      </c>
      <c r="J413" s="11" t="s">
        <v>890</v>
      </c>
      <c r="K413" s="11" t="s">
        <v>93</v>
      </c>
      <c r="L413" s="11" t="s">
        <v>36</v>
      </c>
      <c r="M413" s="11" t="s">
        <v>37</v>
      </c>
      <c r="N413" s="11" t="s">
        <v>38</v>
      </c>
      <c r="O413" s="11" t="s">
        <v>68</v>
      </c>
      <c r="P413" s="11" t="s">
        <v>729</v>
      </c>
      <c r="Q413" s="13">
        <v>55.98</v>
      </c>
      <c r="R413" s="11">
        <v>1</v>
      </c>
      <c r="S413" s="16">
        <v>0</v>
      </c>
      <c r="T413" s="13">
        <v>27.430199999999999</v>
      </c>
      <c r="U413" s="1" t="str">
        <f t="shared" si="19"/>
        <v>Profit</v>
      </c>
      <c r="V413" s="1" t="str">
        <f t="shared" si="20"/>
        <v>Low</v>
      </c>
    </row>
    <row r="414" spans="1:22" x14ac:dyDescent="0.35">
      <c r="A414" s="11">
        <v>413</v>
      </c>
      <c r="B414" s="10">
        <v>41982</v>
      </c>
      <c r="C414" s="11">
        <v>2014</v>
      </c>
      <c r="D414" s="12" t="s">
        <v>70</v>
      </c>
      <c r="E414" s="10">
        <v>41986</v>
      </c>
      <c r="F414" s="11">
        <f t="shared" si="18"/>
        <v>4</v>
      </c>
      <c r="G414" s="11" t="s">
        <v>42</v>
      </c>
      <c r="H414" s="11" t="s">
        <v>723</v>
      </c>
      <c r="I414" s="11" t="s">
        <v>23</v>
      </c>
      <c r="J414" s="11" t="s">
        <v>890</v>
      </c>
      <c r="K414" s="11" t="s">
        <v>93</v>
      </c>
      <c r="L414" s="11" t="s">
        <v>36</v>
      </c>
      <c r="M414" s="11" t="s">
        <v>37</v>
      </c>
      <c r="N414" s="11" t="s">
        <v>27</v>
      </c>
      <c r="O414" s="11" t="s">
        <v>28</v>
      </c>
      <c r="P414" s="11" t="s">
        <v>730</v>
      </c>
      <c r="Q414" s="13">
        <v>1336.829</v>
      </c>
      <c r="R414" s="11">
        <v>13</v>
      </c>
      <c r="S414" s="16">
        <v>0.15</v>
      </c>
      <c r="T414" s="13">
        <v>31.454799999999999</v>
      </c>
      <c r="U414" s="1" t="str">
        <f t="shared" si="19"/>
        <v>Profit</v>
      </c>
      <c r="V414" s="1" t="str">
        <f t="shared" si="20"/>
        <v>High</v>
      </c>
    </row>
    <row r="415" spans="1:22" x14ac:dyDescent="0.35">
      <c r="A415" s="11">
        <v>414</v>
      </c>
      <c r="B415" s="10">
        <v>41982</v>
      </c>
      <c r="C415" s="11">
        <v>2014</v>
      </c>
      <c r="D415" s="12" t="s">
        <v>70</v>
      </c>
      <c r="E415" s="10">
        <v>41986</v>
      </c>
      <c r="F415" s="11">
        <f t="shared" si="18"/>
        <v>4</v>
      </c>
      <c r="G415" s="11" t="s">
        <v>42</v>
      </c>
      <c r="H415" s="11" t="s">
        <v>723</v>
      </c>
      <c r="I415" s="11" t="s">
        <v>23</v>
      </c>
      <c r="J415" s="11" t="s">
        <v>890</v>
      </c>
      <c r="K415" s="11" t="s">
        <v>93</v>
      </c>
      <c r="L415" s="11" t="s">
        <v>36</v>
      </c>
      <c r="M415" s="11" t="s">
        <v>37</v>
      </c>
      <c r="N415" s="11" t="s">
        <v>27</v>
      </c>
      <c r="O415" s="11" t="s">
        <v>30</v>
      </c>
      <c r="P415" s="11" t="s">
        <v>731</v>
      </c>
      <c r="Q415" s="13">
        <v>113.568</v>
      </c>
      <c r="R415" s="11">
        <v>2</v>
      </c>
      <c r="S415" s="16">
        <v>0.2</v>
      </c>
      <c r="T415" s="13">
        <v>-18.454799999999999</v>
      </c>
      <c r="U415" s="1" t="str">
        <f t="shared" si="19"/>
        <v>Loss</v>
      </c>
      <c r="V415" s="1" t="str">
        <f t="shared" si="20"/>
        <v>Low</v>
      </c>
    </row>
    <row r="416" spans="1:22" x14ac:dyDescent="0.35">
      <c r="A416" s="11">
        <v>415</v>
      </c>
      <c r="B416" s="10">
        <v>41947</v>
      </c>
      <c r="C416" s="11">
        <v>2014</v>
      </c>
      <c r="D416" s="12" t="s">
        <v>20</v>
      </c>
      <c r="E416" s="10">
        <v>41951</v>
      </c>
      <c r="F416" s="11">
        <f t="shared" si="18"/>
        <v>4</v>
      </c>
      <c r="G416" s="11" t="s">
        <v>42</v>
      </c>
      <c r="H416" s="11" t="s">
        <v>732</v>
      </c>
      <c r="I416" s="11" t="s">
        <v>34</v>
      </c>
      <c r="J416" s="11" t="s">
        <v>890</v>
      </c>
      <c r="K416" s="11" t="s">
        <v>72</v>
      </c>
      <c r="L416" s="11" t="s">
        <v>73</v>
      </c>
      <c r="M416" s="11" t="s">
        <v>37</v>
      </c>
      <c r="N416" s="11" t="s">
        <v>38</v>
      </c>
      <c r="O416" s="11" t="s">
        <v>68</v>
      </c>
      <c r="P416" s="11" t="s">
        <v>733</v>
      </c>
      <c r="Q416" s="13">
        <v>139.86000000000001</v>
      </c>
      <c r="R416" s="11">
        <v>7</v>
      </c>
      <c r="S416" s="16">
        <v>0</v>
      </c>
      <c r="T416" s="13">
        <v>65.734200000000001</v>
      </c>
      <c r="U416" s="1" t="str">
        <f t="shared" si="19"/>
        <v>Profit</v>
      </c>
      <c r="V416" s="1" t="str">
        <f t="shared" si="20"/>
        <v>Low</v>
      </c>
    </row>
    <row r="417" spans="1:22" x14ac:dyDescent="0.35">
      <c r="A417" s="11">
        <v>416</v>
      </c>
      <c r="B417" s="10">
        <v>41947</v>
      </c>
      <c r="C417" s="11">
        <v>2014</v>
      </c>
      <c r="D417" s="12" t="s">
        <v>20</v>
      </c>
      <c r="E417" s="10">
        <v>41951</v>
      </c>
      <c r="F417" s="11">
        <f t="shared" si="18"/>
        <v>4</v>
      </c>
      <c r="G417" s="11" t="s">
        <v>42</v>
      </c>
      <c r="H417" s="11" t="s">
        <v>732</v>
      </c>
      <c r="I417" s="11" t="s">
        <v>34</v>
      </c>
      <c r="J417" s="11" t="s">
        <v>890</v>
      </c>
      <c r="K417" s="11" t="s">
        <v>72</v>
      </c>
      <c r="L417" s="11" t="s">
        <v>73</v>
      </c>
      <c r="M417" s="11" t="s">
        <v>37</v>
      </c>
      <c r="N417" s="11" t="s">
        <v>27</v>
      </c>
      <c r="O417" s="11" t="s">
        <v>30</v>
      </c>
      <c r="P417" s="11" t="s">
        <v>562</v>
      </c>
      <c r="Q417" s="13">
        <v>307.13600000000002</v>
      </c>
      <c r="R417" s="11">
        <v>4</v>
      </c>
      <c r="S417" s="16">
        <v>0.2</v>
      </c>
      <c r="T417" s="13">
        <v>26.874400000000001</v>
      </c>
      <c r="U417" s="1" t="str">
        <f t="shared" si="19"/>
        <v>Profit</v>
      </c>
      <c r="V417" s="1" t="str">
        <f t="shared" si="20"/>
        <v>Low</v>
      </c>
    </row>
    <row r="418" spans="1:22" x14ac:dyDescent="0.35">
      <c r="A418" s="11">
        <v>417</v>
      </c>
      <c r="B418" s="10">
        <v>41815</v>
      </c>
      <c r="C418" s="11">
        <v>2014</v>
      </c>
      <c r="D418" s="12" t="s">
        <v>32</v>
      </c>
      <c r="E418" s="10">
        <v>41819</v>
      </c>
      <c r="F418" s="11">
        <f t="shared" si="18"/>
        <v>4</v>
      </c>
      <c r="G418" s="11" t="s">
        <v>42</v>
      </c>
      <c r="H418" s="11" t="s">
        <v>734</v>
      </c>
      <c r="I418" s="11" t="s">
        <v>23</v>
      </c>
      <c r="J418" s="11" t="s">
        <v>890</v>
      </c>
      <c r="K418" s="11" t="s">
        <v>735</v>
      </c>
      <c r="L418" s="11" t="s">
        <v>36</v>
      </c>
      <c r="M418" s="11" t="s">
        <v>37</v>
      </c>
      <c r="N418" s="11" t="s">
        <v>38</v>
      </c>
      <c r="O418" s="11" t="s">
        <v>53</v>
      </c>
      <c r="P418" s="11" t="s">
        <v>736</v>
      </c>
      <c r="Q418" s="13">
        <v>95.92</v>
      </c>
      <c r="R418" s="11">
        <v>8</v>
      </c>
      <c r="S418" s="16">
        <v>0</v>
      </c>
      <c r="T418" s="13">
        <v>25.898399999999999</v>
      </c>
      <c r="U418" s="1" t="str">
        <f t="shared" si="19"/>
        <v>Profit</v>
      </c>
      <c r="V418" s="1" t="str">
        <f t="shared" si="20"/>
        <v>Low</v>
      </c>
    </row>
    <row r="419" spans="1:22" x14ac:dyDescent="0.35">
      <c r="A419" s="11">
        <v>418</v>
      </c>
      <c r="B419" s="10">
        <v>41379</v>
      </c>
      <c r="C419" s="11">
        <v>2013</v>
      </c>
      <c r="D419" s="12" t="s">
        <v>64</v>
      </c>
      <c r="E419" s="10">
        <v>41383</v>
      </c>
      <c r="F419" s="11">
        <f t="shared" si="18"/>
        <v>4</v>
      </c>
      <c r="G419" s="11" t="s">
        <v>42</v>
      </c>
      <c r="H419" s="11" t="s">
        <v>737</v>
      </c>
      <c r="I419" s="11" t="s">
        <v>23</v>
      </c>
      <c r="J419" s="11" t="s">
        <v>890</v>
      </c>
      <c r="K419" s="11" t="s">
        <v>35</v>
      </c>
      <c r="L419" s="11" t="s">
        <v>36</v>
      </c>
      <c r="M419" s="11" t="s">
        <v>37</v>
      </c>
      <c r="N419" s="11" t="s">
        <v>27</v>
      </c>
      <c r="O419" s="11" t="s">
        <v>30</v>
      </c>
      <c r="P419" s="11" t="s">
        <v>738</v>
      </c>
      <c r="Q419" s="13">
        <v>383.8</v>
      </c>
      <c r="R419" s="11">
        <v>5</v>
      </c>
      <c r="S419" s="16">
        <v>0.2</v>
      </c>
      <c r="T419" s="13">
        <v>38.380000000000003</v>
      </c>
      <c r="U419" s="1" t="str">
        <f t="shared" si="19"/>
        <v>Profit</v>
      </c>
      <c r="V419" s="1" t="str">
        <f t="shared" si="20"/>
        <v>Low</v>
      </c>
    </row>
    <row r="420" spans="1:22" x14ac:dyDescent="0.35">
      <c r="A420" s="11">
        <v>419</v>
      </c>
      <c r="B420" s="10">
        <v>41950</v>
      </c>
      <c r="C420" s="11">
        <v>2014</v>
      </c>
      <c r="D420" s="12" t="s">
        <v>20</v>
      </c>
      <c r="E420" s="10">
        <v>41954</v>
      </c>
      <c r="F420" s="11">
        <f t="shared" si="18"/>
        <v>4</v>
      </c>
      <c r="G420" s="11" t="s">
        <v>42</v>
      </c>
      <c r="H420" s="11" t="s">
        <v>649</v>
      </c>
      <c r="I420" s="11" t="s">
        <v>34</v>
      </c>
      <c r="J420" s="11" t="s">
        <v>890</v>
      </c>
      <c r="K420" s="11" t="s">
        <v>739</v>
      </c>
      <c r="L420" s="11" t="s">
        <v>25</v>
      </c>
      <c r="M420" s="11" t="s">
        <v>26</v>
      </c>
      <c r="N420" s="11" t="s">
        <v>38</v>
      </c>
      <c r="O420" s="11" t="s">
        <v>68</v>
      </c>
      <c r="P420" s="11" t="s">
        <v>740</v>
      </c>
      <c r="Q420" s="13">
        <v>5.78</v>
      </c>
      <c r="R420" s="11">
        <v>1</v>
      </c>
      <c r="S420" s="16">
        <v>0</v>
      </c>
      <c r="T420" s="13">
        <v>2.8321999999999998</v>
      </c>
      <c r="U420" s="1" t="str">
        <f t="shared" si="19"/>
        <v>Profit</v>
      </c>
      <c r="V420" s="1" t="str">
        <f t="shared" si="20"/>
        <v>Low</v>
      </c>
    </row>
    <row r="421" spans="1:22" x14ac:dyDescent="0.35">
      <c r="A421" s="11">
        <v>420</v>
      </c>
      <c r="B421" s="10">
        <v>41703</v>
      </c>
      <c r="C421" s="11">
        <v>2014</v>
      </c>
      <c r="D421" s="12" t="s">
        <v>147</v>
      </c>
      <c r="E421" s="10">
        <v>41708</v>
      </c>
      <c r="F421" s="11">
        <f t="shared" si="18"/>
        <v>5</v>
      </c>
      <c r="G421" s="11" t="s">
        <v>42</v>
      </c>
      <c r="H421" s="11" t="s">
        <v>597</v>
      </c>
      <c r="I421" s="11" t="s">
        <v>34</v>
      </c>
      <c r="J421" s="11" t="s">
        <v>890</v>
      </c>
      <c r="K421" s="11" t="s">
        <v>35</v>
      </c>
      <c r="L421" s="11" t="s">
        <v>36</v>
      </c>
      <c r="M421" s="11" t="s">
        <v>37</v>
      </c>
      <c r="N421" s="11" t="s">
        <v>38</v>
      </c>
      <c r="O421" s="11" t="s">
        <v>53</v>
      </c>
      <c r="P421" s="11" t="s">
        <v>741</v>
      </c>
      <c r="Q421" s="13">
        <v>9.32</v>
      </c>
      <c r="R421" s="11">
        <v>4</v>
      </c>
      <c r="S421" s="16">
        <v>0</v>
      </c>
      <c r="T421" s="13">
        <v>2.7027999999999999</v>
      </c>
      <c r="U421" s="1" t="str">
        <f t="shared" si="19"/>
        <v>Profit</v>
      </c>
      <c r="V421" s="1" t="str">
        <f t="shared" si="20"/>
        <v>Low</v>
      </c>
    </row>
    <row r="422" spans="1:22" x14ac:dyDescent="0.35">
      <c r="A422" s="11">
        <v>421</v>
      </c>
      <c r="B422" s="10">
        <v>41703</v>
      </c>
      <c r="C422" s="11">
        <v>2014</v>
      </c>
      <c r="D422" s="12" t="s">
        <v>147</v>
      </c>
      <c r="E422" s="10">
        <v>41708</v>
      </c>
      <c r="F422" s="11">
        <f t="shared" si="18"/>
        <v>5</v>
      </c>
      <c r="G422" s="11" t="s">
        <v>42</v>
      </c>
      <c r="H422" s="11" t="s">
        <v>597</v>
      </c>
      <c r="I422" s="11" t="s">
        <v>34</v>
      </c>
      <c r="J422" s="11" t="s">
        <v>890</v>
      </c>
      <c r="K422" s="11" t="s">
        <v>35</v>
      </c>
      <c r="L422" s="11" t="s">
        <v>36</v>
      </c>
      <c r="M422" s="11" t="s">
        <v>37</v>
      </c>
      <c r="N422" s="11" t="s">
        <v>38</v>
      </c>
      <c r="O422" s="11" t="s">
        <v>120</v>
      </c>
      <c r="P422" s="11" t="s">
        <v>742</v>
      </c>
      <c r="Q422" s="13">
        <v>15.25</v>
      </c>
      <c r="R422" s="11">
        <v>1</v>
      </c>
      <c r="S422" s="16">
        <v>0</v>
      </c>
      <c r="T422" s="13">
        <v>7.0149999999999997</v>
      </c>
      <c r="U422" s="1" t="str">
        <f t="shared" si="19"/>
        <v>Profit</v>
      </c>
      <c r="V422" s="1" t="str">
        <f t="shared" si="20"/>
        <v>Low</v>
      </c>
    </row>
    <row r="423" spans="1:22" x14ac:dyDescent="0.35">
      <c r="A423" s="11">
        <v>422</v>
      </c>
      <c r="B423" s="10">
        <v>40716</v>
      </c>
      <c r="C423" s="11">
        <v>2011</v>
      </c>
      <c r="D423" s="12" t="s">
        <v>32</v>
      </c>
      <c r="E423" s="10">
        <v>40719</v>
      </c>
      <c r="F423" s="11">
        <f t="shared" si="18"/>
        <v>3</v>
      </c>
      <c r="G423" s="11" t="s">
        <v>128</v>
      </c>
      <c r="H423" s="11" t="s">
        <v>204</v>
      </c>
      <c r="I423" s="11" t="s">
        <v>23</v>
      </c>
      <c r="J423" s="11" t="s">
        <v>890</v>
      </c>
      <c r="K423" s="11" t="s">
        <v>743</v>
      </c>
      <c r="L423" s="11" t="s">
        <v>264</v>
      </c>
      <c r="M423" s="11" t="s">
        <v>37</v>
      </c>
      <c r="N423" s="11" t="s">
        <v>55</v>
      </c>
      <c r="O423" s="11" t="s">
        <v>114</v>
      </c>
      <c r="P423" s="11" t="s">
        <v>744</v>
      </c>
      <c r="Q423" s="13">
        <v>196.75200000000001</v>
      </c>
      <c r="R423" s="11">
        <v>6</v>
      </c>
      <c r="S423" s="16">
        <v>0.2</v>
      </c>
      <c r="T423" s="13">
        <v>56.566200000000002</v>
      </c>
      <c r="U423" s="1" t="str">
        <f t="shared" si="19"/>
        <v>Profit</v>
      </c>
      <c r="V423" s="1" t="str">
        <f t="shared" si="20"/>
        <v>Low</v>
      </c>
    </row>
    <row r="424" spans="1:22" x14ac:dyDescent="0.35">
      <c r="A424" s="11">
        <v>423</v>
      </c>
      <c r="B424" s="10">
        <v>41932</v>
      </c>
      <c r="C424" s="11">
        <v>2014</v>
      </c>
      <c r="D424" s="12" t="s">
        <v>41</v>
      </c>
      <c r="E424" s="10">
        <v>41936</v>
      </c>
      <c r="F424" s="11">
        <f t="shared" si="18"/>
        <v>4</v>
      </c>
      <c r="G424" s="11" t="s">
        <v>42</v>
      </c>
      <c r="H424" s="11" t="s">
        <v>745</v>
      </c>
      <c r="I424" s="11" t="s">
        <v>34</v>
      </c>
      <c r="J424" s="11" t="s">
        <v>890</v>
      </c>
      <c r="K424" s="11" t="s">
        <v>746</v>
      </c>
      <c r="L424" s="11" t="s">
        <v>638</v>
      </c>
      <c r="M424" s="11" t="s">
        <v>106</v>
      </c>
      <c r="N424" s="11" t="s">
        <v>27</v>
      </c>
      <c r="O424" s="11" t="s">
        <v>51</v>
      </c>
      <c r="P424" s="11" t="s">
        <v>747</v>
      </c>
      <c r="Q424" s="13">
        <v>56.56</v>
      </c>
      <c r="R424" s="11">
        <v>4</v>
      </c>
      <c r="S424" s="16">
        <v>0</v>
      </c>
      <c r="T424" s="13">
        <v>14.7056</v>
      </c>
      <c r="U424" s="1" t="str">
        <f t="shared" si="19"/>
        <v>Profit</v>
      </c>
      <c r="V424" s="1" t="str">
        <f t="shared" si="20"/>
        <v>Low</v>
      </c>
    </row>
    <row r="425" spans="1:22" x14ac:dyDescent="0.35">
      <c r="A425" s="11">
        <v>424</v>
      </c>
      <c r="B425" s="10">
        <v>41932</v>
      </c>
      <c r="C425" s="11">
        <v>2014</v>
      </c>
      <c r="D425" s="12" t="s">
        <v>41</v>
      </c>
      <c r="E425" s="10">
        <v>41936</v>
      </c>
      <c r="F425" s="11">
        <f t="shared" si="18"/>
        <v>4</v>
      </c>
      <c r="G425" s="11" t="s">
        <v>42</v>
      </c>
      <c r="H425" s="11" t="s">
        <v>745</v>
      </c>
      <c r="I425" s="11" t="s">
        <v>34</v>
      </c>
      <c r="J425" s="11" t="s">
        <v>890</v>
      </c>
      <c r="K425" s="11" t="s">
        <v>746</v>
      </c>
      <c r="L425" s="11" t="s">
        <v>638</v>
      </c>
      <c r="M425" s="11" t="s">
        <v>106</v>
      </c>
      <c r="N425" s="11" t="s">
        <v>38</v>
      </c>
      <c r="O425" s="11" t="s">
        <v>48</v>
      </c>
      <c r="P425" s="11" t="s">
        <v>748</v>
      </c>
      <c r="Q425" s="13">
        <v>32.700000000000003</v>
      </c>
      <c r="R425" s="11">
        <v>3</v>
      </c>
      <c r="S425" s="16">
        <v>0</v>
      </c>
      <c r="T425" s="13">
        <v>8.5020000000000007</v>
      </c>
      <c r="U425" s="1" t="str">
        <f t="shared" si="19"/>
        <v>Profit</v>
      </c>
      <c r="V425" s="1" t="str">
        <f t="shared" si="20"/>
        <v>Low</v>
      </c>
    </row>
    <row r="426" spans="1:22" x14ac:dyDescent="0.35">
      <c r="A426" s="11">
        <v>425</v>
      </c>
      <c r="B426" s="10">
        <v>41873</v>
      </c>
      <c r="C426" s="11">
        <v>2014</v>
      </c>
      <c r="D426" s="12" t="s">
        <v>91</v>
      </c>
      <c r="E426" s="10">
        <v>41875</v>
      </c>
      <c r="F426" s="11">
        <f t="shared" si="18"/>
        <v>2</v>
      </c>
      <c r="G426" s="11" t="s">
        <v>21</v>
      </c>
      <c r="H426" s="11" t="s">
        <v>749</v>
      </c>
      <c r="I426" s="11" t="s">
        <v>23</v>
      </c>
      <c r="J426" s="11" t="s">
        <v>890</v>
      </c>
      <c r="K426" s="11" t="s">
        <v>202</v>
      </c>
      <c r="L426" s="11" t="s">
        <v>750</v>
      </c>
      <c r="M426" s="11" t="s">
        <v>26</v>
      </c>
      <c r="N426" s="11" t="s">
        <v>27</v>
      </c>
      <c r="O426" s="11" t="s">
        <v>30</v>
      </c>
      <c r="P426" s="11" t="s">
        <v>751</v>
      </c>
      <c r="Q426" s="13">
        <v>866.4</v>
      </c>
      <c r="R426" s="11">
        <v>4</v>
      </c>
      <c r="S426" s="16">
        <v>0</v>
      </c>
      <c r="T426" s="13">
        <v>225.26400000000001</v>
      </c>
      <c r="U426" s="1" t="str">
        <f t="shared" si="19"/>
        <v>Profit</v>
      </c>
      <c r="V426" s="1" t="str">
        <f t="shared" si="20"/>
        <v>Medium</v>
      </c>
    </row>
    <row r="427" spans="1:22" x14ac:dyDescent="0.35">
      <c r="A427" s="11">
        <v>426</v>
      </c>
      <c r="B427" s="10">
        <v>41967</v>
      </c>
      <c r="C427" s="11">
        <v>2014</v>
      </c>
      <c r="D427" s="12" t="s">
        <v>20</v>
      </c>
      <c r="E427" s="10">
        <v>41970</v>
      </c>
      <c r="F427" s="11">
        <f t="shared" si="18"/>
        <v>3</v>
      </c>
      <c r="G427" s="11" t="s">
        <v>21</v>
      </c>
      <c r="H427" s="11" t="s">
        <v>169</v>
      </c>
      <c r="I427" s="11" t="s">
        <v>34</v>
      </c>
      <c r="J427" s="11" t="s">
        <v>890</v>
      </c>
      <c r="K427" s="11" t="s">
        <v>752</v>
      </c>
      <c r="L427" s="11" t="s">
        <v>155</v>
      </c>
      <c r="M427" s="11" t="s">
        <v>79</v>
      </c>
      <c r="N427" s="11" t="s">
        <v>27</v>
      </c>
      <c r="O427" s="11" t="s">
        <v>51</v>
      </c>
      <c r="P427" s="11" t="s">
        <v>753</v>
      </c>
      <c r="Q427" s="13">
        <v>28.4</v>
      </c>
      <c r="R427" s="11">
        <v>2</v>
      </c>
      <c r="S427" s="16">
        <v>0</v>
      </c>
      <c r="T427" s="13">
        <v>11.076000000000001</v>
      </c>
      <c r="U427" s="1" t="str">
        <f t="shared" si="19"/>
        <v>Profit</v>
      </c>
      <c r="V427" s="1" t="str">
        <f t="shared" si="20"/>
        <v>Low</v>
      </c>
    </row>
    <row r="428" spans="1:22" x14ac:dyDescent="0.35">
      <c r="A428" s="11">
        <v>427</v>
      </c>
      <c r="B428" s="10">
        <v>41967</v>
      </c>
      <c r="C428" s="11">
        <v>2014</v>
      </c>
      <c r="D428" s="12" t="s">
        <v>20</v>
      </c>
      <c r="E428" s="10">
        <v>41970</v>
      </c>
      <c r="F428" s="11">
        <f t="shared" si="18"/>
        <v>3</v>
      </c>
      <c r="G428" s="11" t="s">
        <v>21</v>
      </c>
      <c r="H428" s="11" t="s">
        <v>169</v>
      </c>
      <c r="I428" s="11" t="s">
        <v>34</v>
      </c>
      <c r="J428" s="11" t="s">
        <v>890</v>
      </c>
      <c r="K428" s="11" t="s">
        <v>752</v>
      </c>
      <c r="L428" s="11" t="s">
        <v>155</v>
      </c>
      <c r="M428" s="11" t="s">
        <v>79</v>
      </c>
      <c r="N428" s="11" t="s">
        <v>38</v>
      </c>
      <c r="O428" s="11" t="s">
        <v>58</v>
      </c>
      <c r="P428" s="11" t="s">
        <v>754</v>
      </c>
      <c r="Q428" s="13">
        <v>287.92</v>
      </c>
      <c r="R428" s="11">
        <v>8</v>
      </c>
      <c r="S428" s="16">
        <v>0</v>
      </c>
      <c r="T428" s="13">
        <v>138.20160000000001</v>
      </c>
      <c r="U428" s="1" t="str">
        <f t="shared" si="19"/>
        <v>Profit</v>
      </c>
      <c r="V428" s="1" t="str">
        <f t="shared" si="20"/>
        <v>Low</v>
      </c>
    </row>
    <row r="429" spans="1:22" x14ac:dyDescent="0.35">
      <c r="A429" s="11">
        <v>428</v>
      </c>
      <c r="B429" s="10">
        <v>40798</v>
      </c>
      <c r="C429" s="11">
        <v>2011</v>
      </c>
      <c r="D429" s="12" t="s">
        <v>108</v>
      </c>
      <c r="E429" s="10">
        <v>40799</v>
      </c>
      <c r="F429" s="11">
        <f t="shared" si="18"/>
        <v>1</v>
      </c>
      <c r="G429" s="11" t="s">
        <v>128</v>
      </c>
      <c r="H429" s="11" t="s">
        <v>755</v>
      </c>
      <c r="I429" s="11" t="s">
        <v>76</v>
      </c>
      <c r="J429" s="11" t="s">
        <v>890</v>
      </c>
      <c r="K429" s="11" t="s">
        <v>756</v>
      </c>
      <c r="L429" s="11" t="s">
        <v>171</v>
      </c>
      <c r="M429" s="11" t="s">
        <v>106</v>
      </c>
      <c r="N429" s="11" t="s">
        <v>55</v>
      </c>
      <c r="O429" s="11" t="s">
        <v>374</v>
      </c>
      <c r="P429" s="11" t="s">
        <v>757</v>
      </c>
      <c r="Q429" s="13">
        <v>69.989999999999995</v>
      </c>
      <c r="R429" s="11">
        <v>1</v>
      </c>
      <c r="S429" s="16">
        <v>0</v>
      </c>
      <c r="T429" s="13">
        <v>30.095700000000001</v>
      </c>
      <c r="U429" s="1" t="str">
        <f t="shared" si="19"/>
        <v>Profit</v>
      </c>
      <c r="V429" s="1" t="str">
        <f t="shared" si="20"/>
        <v>Low</v>
      </c>
    </row>
    <row r="430" spans="1:22" x14ac:dyDescent="0.35">
      <c r="A430" s="11">
        <v>429</v>
      </c>
      <c r="B430" s="10">
        <v>41914</v>
      </c>
      <c r="C430" s="11">
        <v>2014</v>
      </c>
      <c r="D430" s="12" t="s">
        <v>41</v>
      </c>
      <c r="E430" s="10">
        <v>41921</v>
      </c>
      <c r="F430" s="11">
        <f t="shared" si="18"/>
        <v>7</v>
      </c>
      <c r="G430" s="11" t="s">
        <v>42</v>
      </c>
      <c r="H430" s="11" t="s">
        <v>758</v>
      </c>
      <c r="I430" s="11" t="s">
        <v>34</v>
      </c>
      <c r="J430" s="11" t="s">
        <v>890</v>
      </c>
      <c r="K430" s="11" t="s">
        <v>372</v>
      </c>
      <c r="L430" s="11" t="s">
        <v>78</v>
      </c>
      <c r="M430" s="11" t="s">
        <v>79</v>
      </c>
      <c r="N430" s="11" t="s">
        <v>38</v>
      </c>
      <c r="O430" s="11" t="s">
        <v>53</v>
      </c>
      <c r="P430" s="11" t="s">
        <v>759</v>
      </c>
      <c r="Q430" s="13">
        <v>6.6719999999999997</v>
      </c>
      <c r="R430" s="11">
        <v>6</v>
      </c>
      <c r="S430" s="16">
        <v>0.2</v>
      </c>
      <c r="T430" s="13">
        <v>0.50039999999999996</v>
      </c>
      <c r="U430" s="1" t="str">
        <f t="shared" si="19"/>
        <v>Profit</v>
      </c>
      <c r="V430" s="1" t="str">
        <f t="shared" si="20"/>
        <v>Low</v>
      </c>
    </row>
    <row r="431" spans="1:22" x14ac:dyDescent="0.35">
      <c r="A431" s="11">
        <v>430</v>
      </c>
      <c r="B431" s="10">
        <v>41380</v>
      </c>
      <c r="C431" s="11">
        <v>2013</v>
      </c>
      <c r="D431" s="12" t="s">
        <v>64</v>
      </c>
      <c r="E431" s="10">
        <v>41386</v>
      </c>
      <c r="F431" s="11">
        <f t="shared" si="18"/>
        <v>6</v>
      </c>
      <c r="G431" s="11" t="s">
        <v>42</v>
      </c>
      <c r="H431" s="11" t="s">
        <v>760</v>
      </c>
      <c r="I431" s="11" t="s">
        <v>76</v>
      </c>
      <c r="J431" s="11" t="s">
        <v>890</v>
      </c>
      <c r="K431" s="11" t="s">
        <v>761</v>
      </c>
      <c r="L431" s="11" t="s">
        <v>67</v>
      </c>
      <c r="M431" s="11" t="s">
        <v>26</v>
      </c>
      <c r="N431" s="11" t="s">
        <v>38</v>
      </c>
      <c r="O431" s="11" t="s">
        <v>58</v>
      </c>
      <c r="P431" s="11" t="s">
        <v>762</v>
      </c>
      <c r="Q431" s="13">
        <v>189.58799999999999</v>
      </c>
      <c r="R431" s="11">
        <v>2</v>
      </c>
      <c r="S431" s="16">
        <v>0.7</v>
      </c>
      <c r="T431" s="13">
        <v>-145.35079999999999</v>
      </c>
      <c r="U431" s="1" t="str">
        <f t="shared" si="19"/>
        <v>Loss</v>
      </c>
      <c r="V431" s="1" t="str">
        <f t="shared" si="20"/>
        <v>Low</v>
      </c>
    </row>
    <row r="432" spans="1:22" x14ac:dyDescent="0.35">
      <c r="A432" s="11">
        <v>431</v>
      </c>
      <c r="B432" s="10">
        <v>41380</v>
      </c>
      <c r="C432" s="11">
        <v>2013</v>
      </c>
      <c r="D432" s="12" t="s">
        <v>64</v>
      </c>
      <c r="E432" s="10">
        <v>41386</v>
      </c>
      <c r="F432" s="11">
        <f t="shared" si="18"/>
        <v>6</v>
      </c>
      <c r="G432" s="11" t="s">
        <v>42</v>
      </c>
      <c r="H432" s="11" t="s">
        <v>760</v>
      </c>
      <c r="I432" s="11" t="s">
        <v>76</v>
      </c>
      <c r="J432" s="11" t="s">
        <v>890</v>
      </c>
      <c r="K432" s="11" t="s">
        <v>761</v>
      </c>
      <c r="L432" s="11" t="s">
        <v>67</v>
      </c>
      <c r="M432" s="11" t="s">
        <v>26</v>
      </c>
      <c r="N432" s="11" t="s">
        <v>55</v>
      </c>
      <c r="O432" s="11" t="s">
        <v>114</v>
      </c>
      <c r="P432" s="11" t="s">
        <v>396</v>
      </c>
      <c r="Q432" s="13">
        <v>408.74400000000003</v>
      </c>
      <c r="R432" s="11">
        <v>7</v>
      </c>
      <c r="S432" s="16">
        <v>0.2</v>
      </c>
      <c r="T432" s="13">
        <v>76.639499999999998</v>
      </c>
      <c r="U432" s="1" t="str">
        <f t="shared" si="19"/>
        <v>Profit</v>
      </c>
      <c r="V432" s="1" t="str">
        <f t="shared" si="20"/>
        <v>Low</v>
      </c>
    </row>
    <row r="433" spans="1:22" x14ac:dyDescent="0.35">
      <c r="A433" s="11">
        <v>432</v>
      </c>
      <c r="B433" s="10">
        <v>41380</v>
      </c>
      <c r="C433" s="11">
        <v>2013</v>
      </c>
      <c r="D433" s="12" t="s">
        <v>64</v>
      </c>
      <c r="E433" s="10">
        <v>41386</v>
      </c>
      <c r="F433" s="11">
        <f t="shared" si="18"/>
        <v>6</v>
      </c>
      <c r="G433" s="11" t="s">
        <v>42</v>
      </c>
      <c r="H433" s="11" t="s">
        <v>760</v>
      </c>
      <c r="I433" s="11" t="s">
        <v>76</v>
      </c>
      <c r="J433" s="11" t="s">
        <v>890</v>
      </c>
      <c r="K433" s="11" t="s">
        <v>761</v>
      </c>
      <c r="L433" s="11" t="s">
        <v>67</v>
      </c>
      <c r="M433" s="11" t="s">
        <v>26</v>
      </c>
      <c r="N433" s="11" t="s">
        <v>55</v>
      </c>
      <c r="O433" s="11" t="s">
        <v>114</v>
      </c>
      <c r="P433" s="11" t="s">
        <v>396</v>
      </c>
      <c r="Q433" s="13">
        <v>291.95999999999998</v>
      </c>
      <c r="R433" s="11">
        <v>5</v>
      </c>
      <c r="S433" s="16">
        <v>0.2</v>
      </c>
      <c r="T433" s="13">
        <v>54.7425</v>
      </c>
      <c r="U433" s="1" t="str">
        <f t="shared" si="19"/>
        <v>Profit</v>
      </c>
      <c r="V433" s="1" t="str">
        <f t="shared" si="20"/>
        <v>Low</v>
      </c>
    </row>
    <row r="434" spans="1:22" x14ac:dyDescent="0.35">
      <c r="A434" s="11">
        <v>433</v>
      </c>
      <c r="B434" s="10">
        <v>41380</v>
      </c>
      <c r="C434" s="11">
        <v>2013</v>
      </c>
      <c r="D434" s="12" t="s">
        <v>64</v>
      </c>
      <c r="E434" s="10">
        <v>41386</v>
      </c>
      <c r="F434" s="11">
        <f t="shared" si="18"/>
        <v>6</v>
      </c>
      <c r="G434" s="11" t="s">
        <v>42</v>
      </c>
      <c r="H434" s="11" t="s">
        <v>760</v>
      </c>
      <c r="I434" s="11" t="s">
        <v>76</v>
      </c>
      <c r="J434" s="11" t="s">
        <v>890</v>
      </c>
      <c r="K434" s="11" t="s">
        <v>761</v>
      </c>
      <c r="L434" s="11" t="s">
        <v>67</v>
      </c>
      <c r="M434" s="11" t="s">
        <v>26</v>
      </c>
      <c r="N434" s="11" t="s">
        <v>38</v>
      </c>
      <c r="O434" s="11" t="s">
        <v>48</v>
      </c>
      <c r="P434" s="11" t="s">
        <v>763</v>
      </c>
      <c r="Q434" s="13">
        <v>4.7679999999999998</v>
      </c>
      <c r="R434" s="11">
        <v>2</v>
      </c>
      <c r="S434" s="16">
        <v>0.2</v>
      </c>
      <c r="T434" s="13">
        <v>-0.77480000000000004</v>
      </c>
      <c r="U434" s="1" t="str">
        <f t="shared" si="19"/>
        <v>Loss</v>
      </c>
      <c r="V434" s="1" t="str">
        <f t="shared" si="20"/>
        <v>Low</v>
      </c>
    </row>
    <row r="435" spans="1:22" x14ac:dyDescent="0.35">
      <c r="A435" s="11">
        <v>434</v>
      </c>
      <c r="B435" s="10">
        <v>41432</v>
      </c>
      <c r="C435" s="11">
        <v>2013</v>
      </c>
      <c r="D435" s="12" t="s">
        <v>32</v>
      </c>
      <c r="E435" s="10">
        <v>41433</v>
      </c>
      <c r="F435" s="11">
        <f t="shared" si="18"/>
        <v>1</v>
      </c>
      <c r="G435" s="11" t="s">
        <v>128</v>
      </c>
      <c r="H435" s="11" t="s">
        <v>356</v>
      </c>
      <c r="I435" s="11" t="s">
        <v>23</v>
      </c>
      <c r="J435" s="11" t="s">
        <v>890</v>
      </c>
      <c r="K435" s="11" t="s">
        <v>637</v>
      </c>
      <c r="L435" s="11" t="s">
        <v>638</v>
      </c>
      <c r="M435" s="11" t="s">
        <v>106</v>
      </c>
      <c r="N435" s="11" t="s">
        <v>38</v>
      </c>
      <c r="O435" s="11" t="s">
        <v>48</v>
      </c>
      <c r="P435" s="11" t="s">
        <v>764</v>
      </c>
      <c r="Q435" s="13">
        <v>714.3</v>
      </c>
      <c r="R435" s="11">
        <v>5</v>
      </c>
      <c r="S435" s="16">
        <v>0</v>
      </c>
      <c r="T435" s="13">
        <v>207.14699999999999</v>
      </c>
      <c r="U435" s="1" t="str">
        <f t="shared" si="19"/>
        <v>Profit</v>
      </c>
      <c r="V435" s="1" t="str">
        <f t="shared" si="20"/>
        <v>Medium</v>
      </c>
    </row>
    <row r="436" spans="1:22" x14ac:dyDescent="0.35">
      <c r="A436" s="11">
        <v>435</v>
      </c>
      <c r="B436" s="10">
        <v>40896</v>
      </c>
      <c r="C436" s="11">
        <v>2011</v>
      </c>
      <c r="D436" s="12" t="s">
        <v>70</v>
      </c>
      <c r="E436" s="10">
        <v>40902</v>
      </c>
      <c r="F436" s="11">
        <f t="shared" si="18"/>
        <v>6</v>
      </c>
      <c r="G436" s="11" t="s">
        <v>42</v>
      </c>
      <c r="H436" s="11" t="s">
        <v>765</v>
      </c>
      <c r="I436" s="11" t="s">
        <v>23</v>
      </c>
      <c r="J436" s="11" t="s">
        <v>890</v>
      </c>
      <c r="K436" s="11" t="s">
        <v>766</v>
      </c>
      <c r="L436" s="11" t="s">
        <v>45</v>
      </c>
      <c r="M436" s="11" t="s">
        <v>26</v>
      </c>
      <c r="N436" s="11" t="s">
        <v>38</v>
      </c>
      <c r="O436" s="11" t="s">
        <v>58</v>
      </c>
      <c r="P436" s="11" t="s">
        <v>767</v>
      </c>
      <c r="Q436" s="13">
        <v>4.8120000000000003</v>
      </c>
      <c r="R436" s="11">
        <v>2</v>
      </c>
      <c r="S436" s="16">
        <v>0.7</v>
      </c>
      <c r="T436" s="13">
        <v>-3.6892</v>
      </c>
      <c r="U436" s="1" t="str">
        <f t="shared" si="19"/>
        <v>Loss</v>
      </c>
      <c r="V436" s="1" t="str">
        <f t="shared" si="20"/>
        <v>Low</v>
      </c>
    </row>
    <row r="437" spans="1:22" x14ac:dyDescent="0.35">
      <c r="A437" s="11">
        <v>436</v>
      </c>
      <c r="B437" s="10">
        <v>40896</v>
      </c>
      <c r="C437" s="11">
        <v>2011</v>
      </c>
      <c r="D437" s="12" t="s">
        <v>70</v>
      </c>
      <c r="E437" s="10">
        <v>40902</v>
      </c>
      <c r="F437" s="11">
        <f t="shared" si="18"/>
        <v>6</v>
      </c>
      <c r="G437" s="11" t="s">
        <v>42</v>
      </c>
      <c r="H437" s="11" t="s">
        <v>765</v>
      </c>
      <c r="I437" s="11" t="s">
        <v>23</v>
      </c>
      <c r="J437" s="11" t="s">
        <v>890</v>
      </c>
      <c r="K437" s="11" t="s">
        <v>766</v>
      </c>
      <c r="L437" s="11" t="s">
        <v>45</v>
      </c>
      <c r="M437" s="11" t="s">
        <v>26</v>
      </c>
      <c r="N437" s="11" t="s">
        <v>55</v>
      </c>
      <c r="O437" s="11" t="s">
        <v>114</v>
      </c>
      <c r="P437" s="11" t="s">
        <v>768</v>
      </c>
      <c r="Q437" s="13">
        <v>247.8</v>
      </c>
      <c r="R437" s="11">
        <v>5</v>
      </c>
      <c r="S437" s="16">
        <v>0.2</v>
      </c>
      <c r="T437" s="13">
        <v>-18.585000000000001</v>
      </c>
      <c r="U437" s="1" t="str">
        <f t="shared" si="19"/>
        <v>Loss</v>
      </c>
      <c r="V437" s="1" t="str">
        <f t="shared" si="20"/>
        <v>Low</v>
      </c>
    </row>
    <row r="438" spans="1:22" x14ac:dyDescent="0.35">
      <c r="A438" s="11">
        <v>437</v>
      </c>
      <c r="B438" s="10">
        <v>41438</v>
      </c>
      <c r="C438" s="11">
        <v>2013</v>
      </c>
      <c r="D438" s="12" t="s">
        <v>32</v>
      </c>
      <c r="E438" s="10">
        <v>41440</v>
      </c>
      <c r="F438" s="11">
        <f t="shared" si="18"/>
        <v>2</v>
      </c>
      <c r="G438" s="11" t="s">
        <v>21</v>
      </c>
      <c r="H438" s="11" t="s">
        <v>769</v>
      </c>
      <c r="I438" s="11" t="s">
        <v>76</v>
      </c>
      <c r="J438" s="11" t="s">
        <v>890</v>
      </c>
      <c r="K438" s="11" t="s">
        <v>189</v>
      </c>
      <c r="L438" s="11" t="s">
        <v>140</v>
      </c>
      <c r="M438" s="11" t="s">
        <v>79</v>
      </c>
      <c r="N438" s="11" t="s">
        <v>55</v>
      </c>
      <c r="O438" s="11" t="s">
        <v>374</v>
      </c>
      <c r="P438" s="11" t="s">
        <v>770</v>
      </c>
      <c r="Q438" s="13">
        <v>1007.979</v>
      </c>
      <c r="R438" s="11">
        <v>3</v>
      </c>
      <c r="S438" s="16">
        <v>0.3</v>
      </c>
      <c r="T438" s="13">
        <v>43.199100000000001</v>
      </c>
      <c r="U438" s="1" t="str">
        <f t="shared" si="19"/>
        <v>Profit</v>
      </c>
      <c r="V438" s="1" t="str">
        <f t="shared" si="20"/>
        <v>High</v>
      </c>
    </row>
    <row r="439" spans="1:22" x14ac:dyDescent="0.35">
      <c r="A439" s="11">
        <v>438</v>
      </c>
      <c r="B439" s="10">
        <v>41438</v>
      </c>
      <c r="C439" s="11">
        <v>2013</v>
      </c>
      <c r="D439" s="12" t="s">
        <v>32</v>
      </c>
      <c r="E439" s="10">
        <v>41440</v>
      </c>
      <c r="F439" s="11">
        <f t="shared" si="18"/>
        <v>2</v>
      </c>
      <c r="G439" s="11" t="s">
        <v>21</v>
      </c>
      <c r="H439" s="11" t="s">
        <v>769</v>
      </c>
      <c r="I439" s="11" t="s">
        <v>76</v>
      </c>
      <c r="J439" s="11" t="s">
        <v>890</v>
      </c>
      <c r="K439" s="11" t="s">
        <v>189</v>
      </c>
      <c r="L439" s="11" t="s">
        <v>140</v>
      </c>
      <c r="M439" s="11" t="s">
        <v>79</v>
      </c>
      <c r="N439" s="11" t="s">
        <v>38</v>
      </c>
      <c r="O439" s="11" t="s">
        <v>68</v>
      </c>
      <c r="P439" s="11" t="s">
        <v>729</v>
      </c>
      <c r="Q439" s="13">
        <v>313.488</v>
      </c>
      <c r="R439" s="11">
        <v>7</v>
      </c>
      <c r="S439" s="16">
        <v>0.2</v>
      </c>
      <c r="T439" s="13">
        <v>113.63939999999999</v>
      </c>
      <c r="U439" s="1" t="str">
        <f t="shared" si="19"/>
        <v>Profit</v>
      </c>
      <c r="V439" s="1" t="str">
        <f t="shared" si="20"/>
        <v>Low</v>
      </c>
    </row>
    <row r="440" spans="1:22" x14ac:dyDescent="0.35">
      <c r="A440" s="11">
        <v>439</v>
      </c>
      <c r="B440" s="10">
        <v>41898</v>
      </c>
      <c r="C440" s="11">
        <v>2014</v>
      </c>
      <c r="D440" s="12" t="s">
        <v>108</v>
      </c>
      <c r="E440" s="10">
        <v>41902</v>
      </c>
      <c r="F440" s="11">
        <f t="shared" si="18"/>
        <v>4</v>
      </c>
      <c r="G440" s="11" t="s">
        <v>42</v>
      </c>
      <c r="H440" s="11" t="s">
        <v>771</v>
      </c>
      <c r="I440" s="11" t="s">
        <v>34</v>
      </c>
      <c r="J440" s="11" t="s">
        <v>890</v>
      </c>
      <c r="K440" s="11" t="s">
        <v>126</v>
      </c>
      <c r="L440" s="11" t="s">
        <v>78</v>
      </c>
      <c r="M440" s="11" t="s">
        <v>79</v>
      </c>
      <c r="N440" s="11" t="s">
        <v>38</v>
      </c>
      <c r="O440" s="11" t="s">
        <v>68</v>
      </c>
      <c r="P440" s="11" t="s">
        <v>772</v>
      </c>
      <c r="Q440" s="13">
        <v>31.872</v>
      </c>
      <c r="R440" s="11">
        <v>8</v>
      </c>
      <c r="S440" s="16">
        <v>0.2</v>
      </c>
      <c r="T440" s="13">
        <v>11.553599999999999</v>
      </c>
      <c r="U440" s="1" t="str">
        <f t="shared" si="19"/>
        <v>Profit</v>
      </c>
      <c r="V440" s="1" t="str">
        <f t="shared" si="20"/>
        <v>Low</v>
      </c>
    </row>
    <row r="441" spans="1:22" x14ac:dyDescent="0.35">
      <c r="A441" s="11">
        <v>440</v>
      </c>
      <c r="B441" s="10">
        <v>41660</v>
      </c>
      <c r="C441" s="11">
        <v>2014</v>
      </c>
      <c r="D441" s="12" t="s">
        <v>111</v>
      </c>
      <c r="E441" s="10">
        <v>41663</v>
      </c>
      <c r="F441" s="11">
        <f t="shared" si="18"/>
        <v>3</v>
      </c>
      <c r="G441" s="11" t="s">
        <v>21</v>
      </c>
      <c r="H441" s="11" t="s">
        <v>276</v>
      </c>
      <c r="I441" s="11" t="s">
        <v>34</v>
      </c>
      <c r="J441" s="11" t="s">
        <v>890</v>
      </c>
      <c r="K441" s="11" t="s">
        <v>170</v>
      </c>
      <c r="L441" s="11" t="s">
        <v>171</v>
      </c>
      <c r="M441" s="11" t="s">
        <v>106</v>
      </c>
      <c r="N441" s="11" t="s">
        <v>27</v>
      </c>
      <c r="O441" s="11" t="s">
        <v>30</v>
      </c>
      <c r="P441" s="11" t="s">
        <v>773</v>
      </c>
      <c r="Q441" s="13">
        <v>207.846</v>
      </c>
      <c r="R441" s="11">
        <v>3</v>
      </c>
      <c r="S441" s="16">
        <v>0.1</v>
      </c>
      <c r="T441" s="13">
        <v>2.3094000000000001</v>
      </c>
      <c r="U441" s="1" t="str">
        <f t="shared" si="19"/>
        <v>Profit</v>
      </c>
      <c r="V441" s="1" t="str">
        <f t="shared" si="20"/>
        <v>Low</v>
      </c>
    </row>
    <row r="442" spans="1:22" x14ac:dyDescent="0.35">
      <c r="A442" s="11">
        <v>441</v>
      </c>
      <c r="B442" s="10">
        <v>41523</v>
      </c>
      <c r="C442" s="11">
        <v>2013</v>
      </c>
      <c r="D442" s="12" t="s">
        <v>108</v>
      </c>
      <c r="E442" s="10">
        <v>41525</v>
      </c>
      <c r="F442" s="11">
        <f t="shared" si="18"/>
        <v>2</v>
      </c>
      <c r="G442" s="11" t="s">
        <v>21</v>
      </c>
      <c r="H442" s="11" t="s">
        <v>82</v>
      </c>
      <c r="I442" s="11" t="s">
        <v>23</v>
      </c>
      <c r="J442" s="11" t="s">
        <v>890</v>
      </c>
      <c r="K442" s="11" t="s">
        <v>469</v>
      </c>
      <c r="L442" s="11" t="s">
        <v>155</v>
      </c>
      <c r="M442" s="11" t="s">
        <v>79</v>
      </c>
      <c r="N442" s="11" t="s">
        <v>27</v>
      </c>
      <c r="O442" s="11" t="s">
        <v>51</v>
      </c>
      <c r="P442" s="11" t="s">
        <v>774</v>
      </c>
      <c r="Q442" s="13">
        <v>12.22</v>
      </c>
      <c r="R442" s="11">
        <v>1</v>
      </c>
      <c r="S442" s="16">
        <v>0</v>
      </c>
      <c r="T442" s="13">
        <v>3.6659999999999999</v>
      </c>
      <c r="U442" s="1" t="str">
        <f t="shared" si="19"/>
        <v>Profit</v>
      </c>
      <c r="V442" s="1" t="str">
        <f t="shared" si="20"/>
        <v>Low</v>
      </c>
    </row>
    <row r="443" spans="1:22" x14ac:dyDescent="0.35">
      <c r="A443" s="11">
        <v>442</v>
      </c>
      <c r="B443" s="10">
        <v>41523</v>
      </c>
      <c r="C443" s="11">
        <v>2013</v>
      </c>
      <c r="D443" s="12" t="s">
        <v>108</v>
      </c>
      <c r="E443" s="10">
        <v>41525</v>
      </c>
      <c r="F443" s="11">
        <f t="shared" si="18"/>
        <v>2</v>
      </c>
      <c r="G443" s="11" t="s">
        <v>21</v>
      </c>
      <c r="H443" s="11" t="s">
        <v>82</v>
      </c>
      <c r="I443" s="11" t="s">
        <v>23</v>
      </c>
      <c r="J443" s="11" t="s">
        <v>890</v>
      </c>
      <c r="K443" s="11" t="s">
        <v>469</v>
      </c>
      <c r="L443" s="11" t="s">
        <v>155</v>
      </c>
      <c r="M443" s="11" t="s">
        <v>79</v>
      </c>
      <c r="N443" s="11" t="s">
        <v>38</v>
      </c>
      <c r="O443" s="11" t="s">
        <v>48</v>
      </c>
      <c r="P443" s="11" t="s">
        <v>775</v>
      </c>
      <c r="Q443" s="13">
        <v>194.94</v>
      </c>
      <c r="R443" s="11">
        <v>3</v>
      </c>
      <c r="S443" s="16">
        <v>0</v>
      </c>
      <c r="T443" s="13">
        <v>23.392800000000001</v>
      </c>
      <c r="U443" s="1" t="str">
        <f t="shared" si="19"/>
        <v>Profit</v>
      </c>
      <c r="V443" s="1" t="str">
        <f t="shared" si="20"/>
        <v>Low</v>
      </c>
    </row>
    <row r="444" spans="1:22" x14ac:dyDescent="0.35">
      <c r="A444" s="11">
        <v>443</v>
      </c>
      <c r="B444" s="10">
        <v>41523</v>
      </c>
      <c r="C444" s="11">
        <v>2013</v>
      </c>
      <c r="D444" s="12" t="s">
        <v>108</v>
      </c>
      <c r="E444" s="10">
        <v>41525</v>
      </c>
      <c r="F444" s="11">
        <f t="shared" si="18"/>
        <v>2</v>
      </c>
      <c r="G444" s="11" t="s">
        <v>21</v>
      </c>
      <c r="H444" s="11" t="s">
        <v>82</v>
      </c>
      <c r="I444" s="11" t="s">
        <v>23</v>
      </c>
      <c r="J444" s="11" t="s">
        <v>890</v>
      </c>
      <c r="K444" s="11" t="s">
        <v>469</v>
      </c>
      <c r="L444" s="11" t="s">
        <v>155</v>
      </c>
      <c r="M444" s="11" t="s">
        <v>79</v>
      </c>
      <c r="N444" s="11" t="s">
        <v>38</v>
      </c>
      <c r="O444" s="11" t="s">
        <v>48</v>
      </c>
      <c r="P444" s="11" t="s">
        <v>776</v>
      </c>
      <c r="Q444" s="13">
        <v>70.95</v>
      </c>
      <c r="R444" s="11">
        <v>3</v>
      </c>
      <c r="S444" s="16">
        <v>0</v>
      </c>
      <c r="T444" s="13">
        <v>20.575500000000002</v>
      </c>
      <c r="U444" s="1" t="str">
        <f t="shared" si="19"/>
        <v>Profit</v>
      </c>
      <c r="V444" s="1" t="str">
        <f t="shared" si="20"/>
        <v>Low</v>
      </c>
    </row>
    <row r="445" spans="1:22" x14ac:dyDescent="0.35">
      <c r="A445" s="11">
        <v>444</v>
      </c>
      <c r="B445" s="10">
        <v>41523</v>
      </c>
      <c r="C445" s="11">
        <v>2013</v>
      </c>
      <c r="D445" s="12" t="s">
        <v>108</v>
      </c>
      <c r="E445" s="10">
        <v>41525</v>
      </c>
      <c r="F445" s="11">
        <f t="shared" si="18"/>
        <v>2</v>
      </c>
      <c r="G445" s="11" t="s">
        <v>21</v>
      </c>
      <c r="H445" s="11" t="s">
        <v>82</v>
      </c>
      <c r="I445" s="11" t="s">
        <v>23</v>
      </c>
      <c r="J445" s="11" t="s">
        <v>890</v>
      </c>
      <c r="K445" s="11" t="s">
        <v>469</v>
      </c>
      <c r="L445" s="11" t="s">
        <v>155</v>
      </c>
      <c r="M445" s="11" t="s">
        <v>79</v>
      </c>
      <c r="N445" s="11" t="s">
        <v>38</v>
      </c>
      <c r="O445" s="11" t="s">
        <v>68</v>
      </c>
      <c r="P445" s="11" t="s">
        <v>777</v>
      </c>
      <c r="Q445" s="13">
        <v>91.36</v>
      </c>
      <c r="R445" s="11">
        <v>4</v>
      </c>
      <c r="S445" s="16">
        <v>0</v>
      </c>
      <c r="T445" s="13">
        <v>42.025599999999997</v>
      </c>
      <c r="U445" s="1" t="str">
        <f t="shared" si="19"/>
        <v>Profit</v>
      </c>
      <c r="V445" s="1" t="str">
        <f t="shared" si="20"/>
        <v>Low</v>
      </c>
    </row>
    <row r="446" spans="1:22" x14ac:dyDescent="0.35">
      <c r="A446" s="11">
        <v>445</v>
      </c>
      <c r="B446" s="10">
        <v>41523</v>
      </c>
      <c r="C446" s="11">
        <v>2013</v>
      </c>
      <c r="D446" s="12" t="s">
        <v>108</v>
      </c>
      <c r="E446" s="10">
        <v>41525</v>
      </c>
      <c r="F446" s="11">
        <f t="shared" si="18"/>
        <v>2</v>
      </c>
      <c r="G446" s="11" t="s">
        <v>21</v>
      </c>
      <c r="H446" s="11" t="s">
        <v>82</v>
      </c>
      <c r="I446" s="11" t="s">
        <v>23</v>
      </c>
      <c r="J446" s="11" t="s">
        <v>890</v>
      </c>
      <c r="K446" s="11" t="s">
        <v>469</v>
      </c>
      <c r="L446" s="11" t="s">
        <v>155</v>
      </c>
      <c r="M446" s="11" t="s">
        <v>79</v>
      </c>
      <c r="N446" s="11" t="s">
        <v>27</v>
      </c>
      <c r="O446" s="11" t="s">
        <v>30</v>
      </c>
      <c r="P446" s="11" t="s">
        <v>778</v>
      </c>
      <c r="Q446" s="13">
        <v>242.94</v>
      </c>
      <c r="R446" s="11">
        <v>3</v>
      </c>
      <c r="S446" s="16">
        <v>0</v>
      </c>
      <c r="T446" s="13">
        <v>29.152799999999999</v>
      </c>
      <c r="U446" s="1" t="str">
        <f t="shared" si="19"/>
        <v>Profit</v>
      </c>
      <c r="V446" s="1" t="str">
        <f t="shared" si="20"/>
        <v>Low</v>
      </c>
    </row>
    <row r="447" spans="1:22" x14ac:dyDescent="0.35">
      <c r="A447" s="11">
        <v>446</v>
      </c>
      <c r="B447" s="10">
        <v>41523</v>
      </c>
      <c r="C447" s="11">
        <v>2013</v>
      </c>
      <c r="D447" s="12" t="s">
        <v>108</v>
      </c>
      <c r="E447" s="10">
        <v>41525</v>
      </c>
      <c r="F447" s="11">
        <f t="shared" si="18"/>
        <v>2</v>
      </c>
      <c r="G447" s="11" t="s">
        <v>21</v>
      </c>
      <c r="H447" s="11" t="s">
        <v>82</v>
      </c>
      <c r="I447" s="11" t="s">
        <v>23</v>
      </c>
      <c r="J447" s="11" t="s">
        <v>890</v>
      </c>
      <c r="K447" s="11" t="s">
        <v>469</v>
      </c>
      <c r="L447" s="11" t="s">
        <v>155</v>
      </c>
      <c r="M447" s="11" t="s">
        <v>79</v>
      </c>
      <c r="N447" s="11" t="s">
        <v>38</v>
      </c>
      <c r="O447" s="11" t="s">
        <v>39</v>
      </c>
      <c r="P447" s="11" t="s">
        <v>779</v>
      </c>
      <c r="Q447" s="13">
        <v>22.05</v>
      </c>
      <c r="R447" s="11">
        <v>7</v>
      </c>
      <c r="S447" s="16">
        <v>0</v>
      </c>
      <c r="T447" s="13">
        <v>10.584</v>
      </c>
      <c r="U447" s="1" t="str">
        <f t="shared" si="19"/>
        <v>Profit</v>
      </c>
      <c r="V447" s="1" t="str">
        <f t="shared" si="20"/>
        <v>Low</v>
      </c>
    </row>
    <row r="448" spans="1:22" x14ac:dyDescent="0.35">
      <c r="A448" s="11">
        <v>447</v>
      </c>
      <c r="B448" s="10">
        <v>41719</v>
      </c>
      <c r="C448" s="11">
        <v>2014</v>
      </c>
      <c r="D448" s="12" t="s">
        <v>147</v>
      </c>
      <c r="E448" s="10">
        <v>41724</v>
      </c>
      <c r="F448" s="11">
        <f t="shared" si="18"/>
        <v>5</v>
      </c>
      <c r="G448" s="11" t="s">
        <v>21</v>
      </c>
      <c r="H448" s="11" t="s">
        <v>780</v>
      </c>
      <c r="I448" s="11" t="s">
        <v>23</v>
      </c>
      <c r="J448" s="11" t="s">
        <v>890</v>
      </c>
      <c r="K448" s="11" t="s">
        <v>284</v>
      </c>
      <c r="L448" s="11" t="s">
        <v>164</v>
      </c>
      <c r="M448" s="11" t="s">
        <v>79</v>
      </c>
      <c r="N448" s="11" t="s">
        <v>27</v>
      </c>
      <c r="O448" s="11" t="s">
        <v>51</v>
      </c>
      <c r="P448" s="11" t="s">
        <v>781</v>
      </c>
      <c r="Q448" s="13">
        <v>2.91</v>
      </c>
      <c r="R448" s="11">
        <v>1</v>
      </c>
      <c r="S448" s="16">
        <v>0</v>
      </c>
      <c r="T448" s="13">
        <v>1.3676999999999999</v>
      </c>
      <c r="U448" s="1" t="str">
        <f t="shared" si="19"/>
        <v>Profit</v>
      </c>
      <c r="V448" s="1" t="str">
        <f t="shared" si="20"/>
        <v>Low</v>
      </c>
    </row>
    <row r="449" spans="1:22" x14ac:dyDescent="0.35">
      <c r="A449" s="11">
        <v>448</v>
      </c>
      <c r="B449" s="10">
        <v>41366</v>
      </c>
      <c r="C449" s="11">
        <v>2013</v>
      </c>
      <c r="D449" s="12" t="s">
        <v>64</v>
      </c>
      <c r="E449" s="10">
        <v>41368</v>
      </c>
      <c r="F449" s="11">
        <f t="shared" si="18"/>
        <v>2</v>
      </c>
      <c r="G449" s="11" t="s">
        <v>21</v>
      </c>
      <c r="H449" s="11" t="s">
        <v>782</v>
      </c>
      <c r="I449" s="11" t="s">
        <v>23</v>
      </c>
      <c r="J449" s="11" t="s">
        <v>890</v>
      </c>
      <c r="K449" s="11" t="s">
        <v>783</v>
      </c>
      <c r="L449" s="11" t="s">
        <v>171</v>
      </c>
      <c r="M449" s="11" t="s">
        <v>106</v>
      </c>
      <c r="N449" s="11" t="s">
        <v>38</v>
      </c>
      <c r="O449" s="11" t="s">
        <v>53</v>
      </c>
      <c r="P449" s="11" t="s">
        <v>784</v>
      </c>
      <c r="Q449" s="13">
        <v>59.52</v>
      </c>
      <c r="R449" s="11">
        <v>3</v>
      </c>
      <c r="S449" s="16">
        <v>0</v>
      </c>
      <c r="T449" s="13">
        <v>15.475199999999999</v>
      </c>
      <c r="U449" s="1" t="str">
        <f t="shared" si="19"/>
        <v>Profit</v>
      </c>
      <c r="V449" s="1" t="str">
        <f t="shared" si="20"/>
        <v>Low</v>
      </c>
    </row>
    <row r="450" spans="1:22" x14ac:dyDescent="0.35">
      <c r="A450" s="11">
        <v>449</v>
      </c>
      <c r="B450" s="10">
        <v>41366</v>
      </c>
      <c r="C450" s="11">
        <v>2013</v>
      </c>
      <c r="D450" s="12" t="s">
        <v>64</v>
      </c>
      <c r="E450" s="10">
        <v>41368</v>
      </c>
      <c r="F450" s="11">
        <f t="shared" ref="F450:F513" si="21">_xlfn.DAYS(E450,B450)</f>
        <v>2</v>
      </c>
      <c r="G450" s="11" t="s">
        <v>21</v>
      </c>
      <c r="H450" s="11" t="s">
        <v>782</v>
      </c>
      <c r="I450" s="11" t="s">
        <v>23</v>
      </c>
      <c r="J450" s="11" t="s">
        <v>890</v>
      </c>
      <c r="K450" s="11" t="s">
        <v>783</v>
      </c>
      <c r="L450" s="11" t="s">
        <v>171</v>
      </c>
      <c r="M450" s="11" t="s">
        <v>106</v>
      </c>
      <c r="N450" s="11" t="s">
        <v>38</v>
      </c>
      <c r="O450" s="11" t="s">
        <v>48</v>
      </c>
      <c r="P450" s="11" t="s">
        <v>785</v>
      </c>
      <c r="Q450" s="13">
        <v>161.94</v>
      </c>
      <c r="R450" s="11">
        <v>3</v>
      </c>
      <c r="S450" s="16">
        <v>0</v>
      </c>
      <c r="T450" s="13">
        <v>9.7164000000000001</v>
      </c>
      <c r="U450" s="1" t="str">
        <f t="shared" si="19"/>
        <v>Profit</v>
      </c>
      <c r="V450" s="1" t="str">
        <f t="shared" si="20"/>
        <v>Low</v>
      </c>
    </row>
    <row r="451" spans="1:22" x14ac:dyDescent="0.35">
      <c r="A451" s="11">
        <v>450</v>
      </c>
      <c r="B451" s="10">
        <v>41366</v>
      </c>
      <c r="C451" s="11">
        <v>2013</v>
      </c>
      <c r="D451" s="12" t="s">
        <v>64</v>
      </c>
      <c r="E451" s="10">
        <v>41368</v>
      </c>
      <c r="F451" s="11">
        <f t="shared" si="21"/>
        <v>2</v>
      </c>
      <c r="G451" s="11" t="s">
        <v>21</v>
      </c>
      <c r="H451" s="11" t="s">
        <v>782</v>
      </c>
      <c r="I451" s="11" t="s">
        <v>23</v>
      </c>
      <c r="J451" s="11" t="s">
        <v>890</v>
      </c>
      <c r="K451" s="11" t="s">
        <v>783</v>
      </c>
      <c r="L451" s="11" t="s">
        <v>171</v>
      </c>
      <c r="M451" s="11" t="s">
        <v>106</v>
      </c>
      <c r="N451" s="11" t="s">
        <v>38</v>
      </c>
      <c r="O451" s="11" t="s">
        <v>53</v>
      </c>
      <c r="P451" s="11" t="s">
        <v>786</v>
      </c>
      <c r="Q451" s="13">
        <v>263.88</v>
      </c>
      <c r="R451" s="11">
        <v>6</v>
      </c>
      <c r="S451" s="16">
        <v>0</v>
      </c>
      <c r="T451" s="13">
        <v>71.247600000000006</v>
      </c>
      <c r="U451" s="1" t="str">
        <f t="shared" ref="U451:U514" si="22">IF(T451&gt;0,"Profit","Loss")</f>
        <v>Profit</v>
      </c>
      <c r="V451" s="1" t="str">
        <f t="shared" ref="V451:V514" si="23">IF(Q451&gt;=1000,"High",IF(Q451&gt;=500,"Medium","Low"))</f>
        <v>Low</v>
      </c>
    </row>
    <row r="452" spans="1:22" x14ac:dyDescent="0.35">
      <c r="A452" s="11">
        <v>451</v>
      </c>
      <c r="B452" s="10">
        <v>41366</v>
      </c>
      <c r="C452" s="11">
        <v>2013</v>
      </c>
      <c r="D452" s="12" t="s">
        <v>64</v>
      </c>
      <c r="E452" s="10">
        <v>41368</v>
      </c>
      <c r="F452" s="11">
        <f t="shared" si="21"/>
        <v>2</v>
      </c>
      <c r="G452" s="11" t="s">
        <v>21</v>
      </c>
      <c r="H452" s="11" t="s">
        <v>782</v>
      </c>
      <c r="I452" s="11" t="s">
        <v>23</v>
      </c>
      <c r="J452" s="11" t="s">
        <v>890</v>
      </c>
      <c r="K452" s="11" t="s">
        <v>783</v>
      </c>
      <c r="L452" s="11" t="s">
        <v>171</v>
      </c>
      <c r="M452" s="11" t="s">
        <v>106</v>
      </c>
      <c r="N452" s="11" t="s">
        <v>38</v>
      </c>
      <c r="O452" s="11" t="s">
        <v>53</v>
      </c>
      <c r="P452" s="11" t="s">
        <v>787</v>
      </c>
      <c r="Q452" s="13">
        <v>30.48</v>
      </c>
      <c r="R452" s="11">
        <v>3</v>
      </c>
      <c r="S452" s="16">
        <v>0</v>
      </c>
      <c r="T452" s="13">
        <v>7.9248000000000003</v>
      </c>
      <c r="U452" s="1" t="str">
        <f t="shared" si="22"/>
        <v>Profit</v>
      </c>
      <c r="V452" s="1" t="str">
        <f t="shared" si="23"/>
        <v>Low</v>
      </c>
    </row>
    <row r="453" spans="1:22" x14ac:dyDescent="0.35">
      <c r="A453" s="11">
        <v>452</v>
      </c>
      <c r="B453" s="10">
        <v>41366</v>
      </c>
      <c r="C453" s="11">
        <v>2013</v>
      </c>
      <c r="D453" s="12" t="s">
        <v>64</v>
      </c>
      <c r="E453" s="10">
        <v>41368</v>
      </c>
      <c r="F453" s="11">
        <f t="shared" si="21"/>
        <v>2</v>
      </c>
      <c r="G453" s="11" t="s">
        <v>21</v>
      </c>
      <c r="H453" s="11" t="s">
        <v>782</v>
      </c>
      <c r="I453" s="11" t="s">
        <v>23</v>
      </c>
      <c r="J453" s="11" t="s">
        <v>890</v>
      </c>
      <c r="K453" s="11" t="s">
        <v>783</v>
      </c>
      <c r="L453" s="11" t="s">
        <v>171</v>
      </c>
      <c r="M453" s="11" t="s">
        <v>106</v>
      </c>
      <c r="N453" s="11" t="s">
        <v>38</v>
      </c>
      <c r="O453" s="11" t="s">
        <v>53</v>
      </c>
      <c r="P453" s="11" t="s">
        <v>788</v>
      </c>
      <c r="Q453" s="13">
        <v>9.84</v>
      </c>
      <c r="R453" s="11">
        <v>3</v>
      </c>
      <c r="S453" s="16">
        <v>0</v>
      </c>
      <c r="T453" s="13">
        <v>2.8536000000000001</v>
      </c>
      <c r="U453" s="1" t="str">
        <f t="shared" si="22"/>
        <v>Profit</v>
      </c>
      <c r="V453" s="1" t="str">
        <f t="shared" si="23"/>
        <v>Low</v>
      </c>
    </row>
    <row r="454" spans="1:22" x14ac:dyDescent="0.35">
      <c r="A454" s="11">
        <v>453</v>
      </c>
      <c r="B454" s="10">
        <v>41366</v>
      </c>
      <c r="C454" s="11">
        <v>2013</v>
      </c>
      <c r="D454" s="12" t="s">
        <v>64</v>
      </c>
      <c r="E454" s="10">
        <v>41368</v>
      </c>
      <c r="F454" s="11">
        <f t="shared" si="21"/>
        <v>2</v>
      </c>
      <c r="G454" s="11" t="s">
        <v>21</v>
      </c>
      <c r="H454" s="11" t="s">
        <v>782</v>
      </c>
      <c r="I454" s="11" t="s">
        <v>23</v>
      </c>
      <c r="J454" s="11" t="s">
        <v>890</v>
      </c>
      <c r="K454" s="11" t="s">
        <v>783</v>
      </c>
      <c r="L454" s="11" t="s">
        <v>171</v>
      </c>
      <c r="M454" s="11" t="s">
        <v>106</v>
      </c>
      <c r="N454" s="11" t="s">
        <v>55</v>
      </c>
      <c r="O454" s="11" t="s">
        <v>56</v>
      </c>
      <c r="P454" s="11" t="s">
        <v>789</v>
      </c>
      <c r="Q454" s="13">
        <v>35.119999999999997</v>
      </c>
      <c r="R454" s="11">
        <v>4</v>
      </c>
      <c r="S454" s="16">
        <v>0</v>
      </c>
      <c r="T454" s="13">
        <v>9.1311999999999998</v>
      </c>
      <c r="U454" s="1" t="str">
        <f t="shared" si="22"/>
        <v>Profit</v>
      </c>
      <c r="V454" s="1" t="str">
        <f t="shared" si="23"/>
        <v>Low</v>
      </c>
    </row>
    <row r="455" spans="1:22" x14ac:dyDescent="0.35">
      <c r="A455" s="11">
        <v>454</v>
      </c>
      <c r="B455" s="10">
        <v>41933</v>
      </c>
      <c r="C455" s="11">
        <v>2014</v>
      </c>
      <c r="D455" s="12" t="s">
        <v>41</v>
      </c>
      <c r="E455" s="10">
        <v>41937</v>
      </c>
      <c r="F455" s="11">
        <f t="shared" si="21"/>
        <v>4</v>
      </c>
      <c r="G455" s="11" t="s">
        <v>42</v>
      </c>
      <c r="H455" s="11" t="s">
        <v>790</v>
      </c>
      <c r="I455" s="11" t="s">
        <v>34</v>
      </c>
      <c r="J455" s="11" t="s">
        <v>890</v>
      </c>
      <c r="K455" s="11" t="s">
        <v>431</v>
      </c>
      <c r="L455" s="11" t="s">
        <v>285</v>
      </c>
      <c r="M455" s="11" t="s">
        <v>106</v>
      </c>
      <c r="N455" s="11" t="s">
        <v>27</v>
      </c>
      <c r="O455" s="11" t="s">
        <v>46</v>
      </c>
      <c r="P455" s="11" t="s">
        <v>62</v>
      </c>
      <c r="Q455" s="13">
        <v>284.36399999999998</v>
      </c>
      <c r="R455" s="11">
        <v>2</v>
      </c>
      <c r="S455" s="16">
        <v>0.4</v>
      </c>
      <c r="T455" s="13">
        <v>-75.830399999999997</v>
      </c>
      <c r="U455" s="1" t="str">
        <f t="shared" si="22"/>
        <v>Loss</v>
      </c>
      <c r="V455" s="1" t="str">
        <f t="shared" si="23"/>
        <v>Low</v>
      </c>
    </row>
    <row r="456" spans="1:22" x14ac:dyDescent="0.35">
      <c r="A456" s="11">
        <v>455</v>
      </c>
      <c r="B456" s="10">
        <v>41933</v>
      </c>
      <c r="C456" s="11">
        <v>2014</v>
      </c>
      <c r="D456" s="12" t="s">
        <v>41</v>
      </c>
      <c r="E456" s="10">
        <v>41937</v>
      </c>
      <c r="F456" s="11">
        <f t="shared" si="21"/>
        <v>4</v>
      </c>
      <c r="G456" s="11" t="s">
        <v>42</v>
      </c>
      <c r="H456" s="11" t="s">
        <v>790</v>
      </c>
      <c r="I456" s="11" t="s">
        <v>34</v>
      </c>
      <c r="J456" s="11" t="s">
        <v>890</v>
      </c>
      <c r="K456" s="11" t="s">
        <v>431</v>
      </c>
      <c r="L456" s="11" t="s">
        <v>285</v>
      </c>
      <c r="M456" s="11" t="s">
        <v>106</v>
      </c>
      <c r="N456" s="11" t="s">
        <v>38</v>
      </c>
      <c r="O456" s="11" t="s">
        <v>48</v>
      </c>
      <c r="P456" s="11" t="s">
        <v>791</v>
      </c>
      <c r="Q456" s="13">
        <v>665.40800000000002</v>
      </c>
      <c r="R456" s="11">
        <v>2</v>
      </c>
      <c r="S456" s="16">
        <v>0.2</v>
      </c>
      <c r="T456" s="13">
        <v>66.540800000000004</v>
      </c>
      <c r="U456" s="1" t="str">
        <f t="shared" si="22"/>
        <v>Profit</v>
      </c>
      <c r="V456" s="1" t="str">
        <f t="shared" si="23"/>
        <v>Medium</v>
      </c>
    </row>
    <row r="457" spans="1:22" x14ac:dyDescent="0.35">
      <c r="A457" s="11">
        <v>456</v>
      </c>
      <c r="B457" s="10">
        <v>41622</v>
      </c>
      <c r="C457" s="11">
        <v>2013</v>
      </c>
      <c r="D457" s="12" t="s">
        <v>70</v>
      </c>
      <c r="E457" s="10">
        <v>41626</v>
      </c>
      <c r="F457" s="11">
        <f t="shared" si="21"/>
        <v>4</v>
      </c>
      <c r="G457" s="11" t="s">
        <v>42</v>
      </c>
      <c r="H457" s="11" t="s">
        <v>758</v>
      </c>
      <c r="I457" s="11" t="s">
        <v>34</v>
      </c>
      <c r="J457" s="11" t="s">
        <v>890</v>
      </c>
      <c r="K457" s="11" t="s">
        <v>792</v>
      </c>
      <c r="L457" s="11" t="s">
        <v>359</v>
      </c>
      <c r="M457" s="11" t="s">
        <v>79</v>
      </c>
      <c r="N457" s="11" t="s">
        <v>55</v>
      </c>
      <c r="O457" s="11" t="s">
        <v>114</v>
      </c>
      <c r="P457" s="11" t="s">
        <v>793</v>
      </c>
      <c r="Q457" s="13">
        <v>63.88</v>
      </c>
      <c r="R457" s="11">
        <v>4</v>
      </c>
      <c r="S457" s="16">
        <v>0</v>
      </c>
      <c r="T457" s="13">
        <v>24.9132</v>
      </c>
      <c r="U457" s="1" t="str">
        <f t="shared" si="22"/>
        <v>Profit</v>
      </c>
      <c r="V457" s="1" t="str">
        <f t="shared" si="23"/>
        <v>Low</v>
      </c>
    </row>
    <row r="458" spans="1:22" x14ac:dyDescent="0.35">
      <c r="A458" s="11">
        <v>457</v>
      </c>
      <c r="B458" s="10">
        <v>40587</v>
      </c>
      <c r="C458" s="11">
        <v>2011</v>
      </c>
      <c r="D458" s="12" t="s">
        <v>313</v>
      </c>
      <c r="E458" s="10">
        <v>40593</v>
      </c>
      <c r="F458" s="11">
        <f t="shared" si="21"/>
        <v>6</v>
      </c>
      <c r="G458" s="11" t="s">
        <v>42</v>
      </c>
      <c r="H458" s="11" t="s">
        <v>794</v>
      </c>
      <c r="I458" s="11" t="s">
        <v>23</v>
      </c>
      <c r="J458" s="11" t="s">
        <v>890</v>
      </c>
      <c r="K458" s="11" t="s">
        <v>66</v>
      </c>
      <c r="L458" s="11" t="s">
        <v>36</v>
      </c>
      <c r="M458" s="11" t="s">
        <v>37</v>
      </c>
      <c r="N458" s="11" t="s">
        <v>27</v>
      </c>
      <c r="O458" s="11" t="s">
        <v>30</v>
      </c>
      <c r="P458" s="11" t="s">
        <v>795</v>
      </c>
      <c r="Q458" s="13">
        <v>129.56800000000001</v>
      </c>
      <c r="R458" s="11">
        <v>2</v>
      </c>
      <c r="S458" s="16">
        <v>0.2</v>
      </c>
      <c r="T458" s="13">
        <v>-24.294</v>
      </c>
      <c r="U458" s="1" t="str">
        <f t="shared" si="22"/>
        <v>Loss</v>
      </c>
      <c r="V458" s="1" t="str">
        <f t="shared" si="23"/>
        <v>Low</v>
      </c>
    </row>
    <row r="459" spans="1:22" x14ac:dyDescent="0.35">
      <c r="A459" s="11">
        <v>458</v>
      </c>
      <c r="B459" s="10">
        <v>41544</v>
      </c>
      <c r="C459" s="11">
        <v>2013</v>
      </c>
      <c r="D459" s="12" t="s">
        <v>108</v>
      </c>
      <c r="E459" s="10">
        <v>41549</v>
      </c>
      <c r="F459" s="11">
        <f t="shared" si="21"/>
        <v>5</v>
      </c>
      <c r="G459" s="11" t="s">
        <v>42</v>
      </c>
      <c r="H459" s="11" t="s">
        <v>749</v>
      </c>
      <c r="I459" s="11" t="s">
        <v>23</v>
      </c>
      <c r="J459" s="11" t="s">
        <v>890</v>
      </c>
      <c r="K459" s="11" t="s">
        <v>216</v>
      </c>
      <c r="L459" s="11" t="s">
        <v>140</v>
      </c>
      <c r="M459" s="11" t="s">
        <v>79</v>
      </c>
      <c r="N459" s="11" t="s">
        <v>27</v>
      </c>
      <c r="O459" s="11" t="s">
        <v>30</v>
      </c>
      <c r="P459" s="11" t="s">
        <v>796</v>
      </c>
      <c r="Q459" s="13">
        <v>747.55799999999999</v>
      </c>
      <c r="R459" s="11">
        <v>3</v>
      </c>
      <c r="S459" s="16">
        <v>0.3</v>
      </c>
      <c r="T459" s="13">
        <v>-96.114599999999996</v>
      </c>
      <c r="U459" s="1" t="str">
        <f t="shared" si="22"/>
        <v>Loss</v>
      </c>
      <c r="V459" s="1" t="str">
        <f t="shared" si="23"/>
        <v>Medium</v>
      </c>
    </row>
    <row r="460" spans="1:22" x14ac:dyDescent="0.35">
      <c r="A460" s="11">
        <v>459</v>
      </c>
      <c r="B460" s="10">
        <v>41544</v>
      </c>
      <c r="C460" s="11">
        <v>2013</v>
      </c>
      <c r="D460" s="12" t="s">
        <v>108</v>
      </c>
      <c r="E460" s="10">
        <v>41549</v>
      </c>
      <c r="F460" s="11">
        <f t="shared" si="21"/>
        <v>5</v>
      </c>
      <c r="G460" s="11" t="s">
        <v>42</v>
      </c>
      <c r="H460" s="11" t="s">
        <v>749</v>
      </c>
      <c r="I460" s="11" t="s">
        <v>23</v>
      </c>
      <c r="J460" s="11" t="s">
        <v>890</v>
      </c>
      <c r="K460" s="11" t="s">
        <v>216</v>
      </c>
      <c r="L460" s="11" t="s">
        <v>140</v>
      </c>
      <c r="M460" s="11" t="s">
        <v>79</v>
      </c>
      <c r="N460" s="11" t="s">
        <v>38</v>
      </c>
      <c r="O460" s="11" t="s">
        <v>120</v>
      </c>
      <c r="P460" s="11" t="s">
        <v>127</v>
      </c>
      <c r="Q460" s="13">
        <v>8.9280000000000008</v>
      </c>
      <c r="R460" s="11">
        <v>2</v>
      </c>
      <c r="S460" s="16">
        <v>0.2</v>
      </c>
      <c r="T460" s="13">
        <v>3.3479999999999999</v>
      </c>
      <c r="U460" s="1" t="str">
        <f t="shared" si="22"/>
        <v>Profit</v>
      </c>
      <c r="V460" s="1" t="str">
        <f t="shared" si="23"/>
        <v>Low</v>
      </c>
    </row>
    <row r="461" spans="1:22" x14ac:dyDescent="0.35">
      <c r="A461" s="11">
        <v>460</v>
      </c>
      <c r="B461" s="10">
        <v>41258</v>
      </c>
      <c r="C461" s="11">
        <v>2012</v>
      </c>
      <c r="D461" s="12" t="s">
        <v>70</v>
      </c>
      <c r="E461" s="10">
        <v>41265</v>
      </c>
      <c r="F461" s="11">
        <f t="shared" si="21"/>
        <v>7</v>
      </c>
      <c r="G461" s="11" t="s">
        <v>42</v>
      </c>
      <c r="H461" s="11" t="s">
        <v>445</v>
      </c>
      <c r="I461" s="11" t="s">
        <v>23</v>
      </c>
      <c r="J461" s="11" t="s">
        <v>890</v>
      </c>
      <c r="K461" s="11" t="s">
        <v>72</v>
      </c>
      <c r="L461" s="11" t="s">
        <v>73</v>
      </c>
      <c r="M461" s="11" t="s">
        <v>37</v>
      </c>
      <c r="N461" s="11" t="s">
        <v>38</v>
      </c>
      <c r="O461" s="11" t="s">
        <v>60</v>
      </c>
      <c r="P461" s="11" t="s">
        <v>797</v>
      </c>
      <c r="Q461" s="13">
        <v>103.92</v>
      </c>
      <c r="R461" s="11">
        <v>4</v>
      </c>
      <c r="S461" s="16">
        <v>0</v>
      </c>
      <c r="T461" s="13">
        <v>36.372</v>
      </c>
      <c r="U461" s="1" t="str">
        <f t="shared" si="22"/>
        <v>Profit</v>
      </c>
      <c r="V461" s="1" t="str">
        <f t="shared" si="23"/>
        <v>Low</v>
      </c>
    </row>
    <row r="462" spans="1:22" x14ac:dyDescent="0.35">
      <c r="A462" s="11">
        <v>461</v>
      </c>
      <c r="B462" s="10">
        <v>41258</v>
      </c>
      <c r="C462" s="11">
        <v>2012</v>
      </c>
      <c r="D462" s="12" t="s">
        <v>70</v>
      </c>
      <c r="E462" s="10">
        <v>41265</v>
      </c>
      <c r="F462" s="11">
        <f t="shared" si="21"/>
        <v>7</v>
      </c>
      <c r="G462" s="11" t="s">
        <v>42</v>
      </c>
      <c r="H462" s="11" t="s">
        <v>445</v>
      </c>
      <c r="I462" s="11" t="s">
        <v>23</v>
      </c>
      <c r="J462" s="11" t="s">
        <v>890</v>
      </c>
      <c r="K462" s="11" t="s">
        <v>72</v>
      </c>
      <c r="L462" s="11" t="s">
        <v>73</v>
      </c>
      <c r="M462" s="11" t="s">
        <v>37</v>
      </c>
      <c r="N462" s="11" t="s">
        <v>55</v>
      </c>
      <c r="O462" s="11" t="s">
        <v>114</v>
      </c>
      <c r="P462" s="11" t="s">
        <v>798</v>
      </c>
      <c r="Q462" s="13">
        <v>899.91</v>
      </c>
      <c r="R462" s="11">
        <v>9</v>
      </c>
      <c r="S462" s="16">
        <v>0</v>
      </c>
      <c r="T462" s="13">
        <v>377.9622</v>
      </c>
      <c r="U462" s="1" t="str">
        <f t="shared" si="22"/>
        <v>Profit</v>
      </c>
      <c r="V462" s="1" t="str">
        <f t="shared" si="23"/>
        <v>Medium</v>
      </c>
    </row>
    <row r="463" spans="1:22" x14ac:dyDescent="0.35">
      <c r="A463" s="11">
        <v>462</v>
      </c>
      <c r="B463" s="10">
        <v>41258</v>
      </c>
      <c r="C463" s="11">
        <v>2012</v>
      </c>
      <c r="D463" s="12" t="s">
        <v>70</v>
      </c>
      <c r="E463" s="10">
        <v>41265</v>
      </c>
      <c r="F463" s="11">
        <f t="shared" si="21"/>
        <v>7</v>
      </c>
      <c r="G463" s="11" t="s">
        <v>42</v>
      </c>
      <c r="H463" s="11" t="s">
        <v>445</v>
      </c>
      <c r="I463" s="11" t="s">
        <v>23</v>
      </c>
      <c r="J463" s="11" t="s">
        <v>890</v>
      </c>
      <c r="K463" s="11" t="s">
        <v>72</v>
      </c>
      <c r="L463" s="11" t="s">
        <v>73</v>
      </c>
      <c r="M463" s="11" t="s">
        <v>37</v>
      </c>
      <c r="N463" s="11" t="s">
        <v>38</v>
      </c>
      <c r="O463" s="11" t="s">
        <v>58</v>
      </c>
      <c r="P463" s="11" t="s">
        <v>799</v>
      </c>
      <c r="Q463" s="13">
        <v>51.311999999999998</v>
      </c>
      <c r="R463" s="11">
        <v>3</v>
      </c>
      <c r="S463" s="16">
        <v>0.2</v>
      </c>
      <c r="T463" s="13">
        <v>18.6006</v>
      </c>
      <c r="U463" s="1" t="str">
        <f t="shared" si="22"/>
        <v>Profit</v>
      </c>
      <c r="V463" s="1" t="str">
        <f t="shared" si="23"/>
        <v>Low</v>
      </c>
    </row>
    <row r="464" spans="1:22" x14ac:dyDescent="0.35">
      <c r="A464" s="11">
        <v>463</v>
      </c>
      <c r="B464" s="10">
        <v>41387</v>
      </c>
      <c r="C464" s="11">
        <v>2013</v>
      </c>
      <c r="D464" s="12" t="s">
        <v>64</v>
      </c>
      <c r="E464" s="10">
        <v>41394</v>
      </c>
      <c r="F464" s="11">
        <f t="shared" si="21"/>
        <v>7</v>
      </c>
      <c r="G464" s="11" t="s">
        <v>42</v>
      </c>
      <c r="H464" s="11" t="s">
        <v>800</v>
      </c>
      <c r="I464" s="11" t="s">
        <v>76</v>
      </c>
      <c r="J464" s="11" t="s">
        <v>890</v>
      </c>
      <c r="K464" s="11" t="s">
        <v>307</v>
      </c>
      <c r="L464" s="11" t="s">
        <v>193</v>
      </c>
      <c r="M464" s="11" t="s">
        <v>37</v>
      </c>
      <c r="N464" s="11" t="s">
        <v>27</v>
      </c>
      <c r="O464" s="11" t="s">
        <v>51</v>
      </c>
      <c r="P464" s="11" t="s">
        <v>656</v>
      </c>
      <c r="Q464" s="13">
        <v>23.56</v>
      </c>
      <c r="R464" s="11">
        <v>5</v>
      </c>
      <c r="S464" s="16">
        <v>0.2</v>
      </c>
      <c r="T464" s="13">
        <v>7.0679999999999996</v>
      </c>
      <c r="U464" s="1" t="str">
        <f t="shared" si="22"/>
        <v>Profit</v>
      </c>
      <c r="V464" s="1" t="str">
        <f t="shared" si="23"/>
        <v>Low</v>
      </c>
    </row>
    <row r="465" spans="1:22" x14ac:dyDescent="0.35">
      <c r="A465" s="11">
        <v>464</v>
      </c>
      <c r="B465" s="10">
        <v>41387</v>
      </c>
      <c r="C465" s="11">
        <v>2013</v>
      </c>
      <c r="D465" s="12" t="s">
        <v>64</v>
      </c>
      <c r="E465" s="10">
        <v>41394</v>
      </c>
      <c r="F465" s="11">
        <f t="shared" si="21"/>
        <v>7</v>
      </c>
      <c r="G465" s="11" t="s">
        <v>42</v>
      </c>
      <c r="H465" s="11" t="s">
        <v>800</v>
      </c>
      <c r="I465" s="11" t="s">
        <v>76</v>
      </c>
      <c r="J465" s="11" t="s">
        <v>890</v>
      </c>
      <c r="K465" s="11" t="s">
        <v>307</v>
      </c>
      <c r="L465" s="11" t="s">
        <v>193</v>
      </c>
      <c r="M465" s="11" t="s">
        <v>37</v>
      </c>
      <c r="N465" s="11" t="s">
        <v>27</v>
      </c>
      <c r="O465" s="11" t="s">
        <v>46</v>
      </c>
      <c r="P465" s="11" t="s">
        <v>801</v>
      </c>
      <c r="Q465" s="13">
        <v>1272.6300000000001</v>
      </c>
      <c r="R465" s="11">
        <v>6</v>
      </c>
      <c r="S465" s="16">
        <v>0.5</v>
      </c>
      <c r="T465" s="13">
        <v>-814.48320000000001</v>
      </c>
      <c r="U465" s="1" t="str">
        <f t="shared" si="22"/>
        <v>Loss</v>
      </c>
      <c r="V465" s="1" t="str">
        <f t="shared" si="23"/>
        <v>High</v>
      </c>
    </row>
    <row r="466" spans="1:22" x14ac:dyDescent="0.35">
      <c r="A466" s="11">
        <v>465</v>
      </c>
      <c r="B466" s="10">
        <v>41387</v>
      </c>
      <c r="C466" s="11">
        <v>2013</v>
      </c>
      <c r="D466" s="12" t="s">
        <v>64</v>
      </c>
      <c r="E466" s="10">
        <v>41394</v>
      </c>
      <c r="F466" s="11">
        <f t="shared" si="21"/>
        <v>7</v>
      </c>
      <c r="G466" s="11" t="s">
        <v>42</v>
      </c>
      <c r="H466" s="11" t="s">
        <v>800</v>
      </c>
      <c r="I466" s="11" t="s">
        <v>76</v>
      </c>
      <c r="J466" s="11" t="s">
        <v>890</v>
      </c>
      <c r="K466" s="11" t="s">
        <v>307</v>
      </c>
      <c r="L466" s="11" t="s">
        <v>193</v>
      </c>
      <c r="M466" s="11" t="s">
        <v>37</v>
      </c>
      <c r="N466" s="11" t="s">
        <v>38</v>
      </c>
      <c r="O466" s="11" t="s">
        <v>58</v>
      </c>
      <c r="P466" s="11" t="s">
        <v>802</v>
      </c>
      <c r="Q466" s="13">
        <v>28.484999999999999</v>
      </c>
      <c r="R466" s="11">
        <v>5</v>
      </c>
      <c r="S466" s="16">
        <v>0.7</v>
      </c>
      <c r="T466" s="13">
        <v>-20.888999999999999</v>
      </c>
      <c r="U466" s="1" t="str">
        <f t="shared" si="22"/>
        <v>Loss</v>
      </c>
      <c r="V466" s="1" t="str">
        <f t="shared" si="23"/>
        <v>Low</v>
      </c>
    </row>
    <row r="467" spans="1:22" x14ac:dyDescent="0.35">
      <c r="A467" s="11">
        <v>466</v>
      </c>
      <c r="B467" s="10">
        <v>41387</v>
      </c>
      <c r="C467" s="11">
        <v>2013</v>
      </c>
      <c r="D467" s="12" t="s">
        <v>64</v>
      </c>
      <c r="E467" s="10">
        <v>41394</v>
      </c>
      <c r="F467" s="11">
        <f t="shared" si="21"/>
        <v>7</v>
      </c>
      <c r="G467" s="11" t="s">
        <v>42</v>
      </c>
      <c r="H467" s="11" t="s">
        <v>800</v>
      </c>
      <c r="I467" s="11" t="s">
        <v>76</v>
      </c>
      <c r="J467" s="11" t="s">
        <v>890</v>
      </c>
      <c r="K467" s="11" t="s">
        <v>307</v>
      </c>
      <c r="L467" s="11" t="s">
        <v>193</v>
      </c>
      <c r="M467" s="11" t="s">
        <v>37</v>
      </c>
      <c r="N467" s="11" t="s">
        <v>38</v>
      </c>
      <c r="O467" s="11" t="s">
        <v>324</v>
      </c>
      <c r="P467" s="11" t="s">
        <v>803</v>
      </c>
      <c r="Q467" s="13">
        <v>185.376</v>
      </c>
      <c r="R467" s="11">
        <v>2</v>
      </c>
      <c r="S467" s="16">
        <v>0.2</v>
      </c>
      <c r="T467" s="13">
        <v>-34.758000000000003</v>
      </c>
      <c r="U467" s="1" t="str">
        <f t="shared" si="22"/>
        <v>Loss</v>
      </c>
      <c r="V467" s="1" t="str">
        <f t="shared" si="23"/>
        <v>Low</v>
      </c>
    </row>
    <row r="468" spans="1:22" x14ac:dyDescent="0.35">
      <c r="A468" s="11">
        <v>467</v>
      </c>
      <c r="B468" s="10">
        <v>41387</v>
      </c>
      <c r="C468" s="11">
        <v>2013</v>
      </c>
      <c r="D468" s="12" t="s">
        <v>64</v>
      </c>
      <c r="E468" s="10">
        <v>41394</v>
      </c>
      <c r="F468" s="11">
        <f t="shared" si="21"/>
        <v>7</v>
      </c>
      <c r="G468" s="11" t="s">
        <v>42</v>
      </c>
      <c r="H468" s="11" t="s">
        <v>800</v>
      </c>
      <c r="I468" s="11" t="s">
        <v>76</v>
      </c>
      <c r="J468" s="11" t="s">
        <v>890</v>
      </c>
      <c r="K468" s="11" t="s">
        <v>307</v>
      </c>
      <c r="L468" s="11" t="s">
        <v>193</v>
      </c>
      <c r="M468" s="11" t="s">
        <v>37</v>
      </c>
      <c r="N468" s="11" t="s">
        <v>38</v>
      </c>
      <c r="O468" s="11" t="s">
        <v>60</v>
      </c>
      <c r="P468" s="11" t="s">
        <v>804</v>
      </c>
      <c r="Q468" s="13">
        <v>78.272000000000006</v>
      </c>
      <c r="R468" s="11">
        <v>2</v>
      </c>
      <c r="S468" s="16">
        <v>0.2</v>
      </c>
      <c r="T468" s="13">
        <v>5.8704000000000001</v>
      </c>
      <c r="U468" s="1" t="str">
        <f t="shared" si="22"/>
        <v>Profit</v>
      </c>
      <c r="V468" s="1" t="str">
        <f t="shared" si="23"/>
        <v>Low</v>
      </c>
    </row>
    <row r="469" spans="1:22" x14ac:dyDescent="0.35">
      <c r="A469" s="11">
        <v>468</v>
      </c>
      <c r="B469" s="10">
        <v>40925</v>
      </c>
      <c r="C469" s="11">
        <v>2012</v>
      </c>
      <c r="D469" s="12" t="s">
        <v>111</v>
      </c>
      <c r="E469" s="10">
        <v>40932</v>
      </c>
      <c r="F469" s="11">
        <f t="shared" si="21"/>
        <v>7</v>
      </c>
      <c r="G469" s="11" t="s">
        <v>42</v>
      </c>
      <c r="H469" s="11" t="s">
        <v>805</v>
      </c>
      <c r="I469" s="11" t="s">
        <v>76</v>
      </c>
      <c r="J469" s="11" t="s">
        <v>890</v>
      </c>
      <c r="K469" s="11" t="s">
        <v>806</v>
      </c>
      <c r="L469" s="11" t="s">
        <v>140</v>
      </c>
      <c r="M469" s="11" t="s">
        <v>79</v>
      </c>
      <c r="N469" s="11" t="s">
        <v>27</v>
      </c>
      <c r="O469" s="11" t="s">
        <v>51</v>
      </c>
      <c r="P469" s="11" t="s">
        <v>563</v>
      </c>
      <c r="Q469" s="13">
        <v>254.744</v>
      </c>
      <c r="R469" s="11">
        <v>7</v>
      </c>
      <c r="S469" s="16">
        <v>0.6</v>
      </c>
      <c r="T469" s="13">
        <v>-312.06139999999999</v>
      </c>
      <c r="U469" s="1" t="str">
        <f t="shared" si="22"/>
        <v>Loss</v>
      </c>
      <c r="V469" s="1" t="str">
        <f t="shared" si="23"/>
        <v>Low</v>
      </c>
    </row>
    <row r="470" spans="1:22" x14ac:dyDescent="0.35">
      <c r="A470" s="11">
        <v>469</v>
      </c>
      <c r="B470" s="10">
        <v>41730</v>
      </c>
      <c r="C470" s="11">
        <v>2014</v>
      </c>
      <c r="D470" s="12" t="s">
        <v>64</v>
      </c>
      <c r="E470" s="10">
        <v>41734</v>
      </c>
      <c r="F470" s="11">
        <f t="shared" si="21"/>
        <v>4</v>
      </c>
      <c r="G470" s="11" t="s">
        <v>42</v>
      </c>
      <c r="H470" s="11" t="s">
        <v>468</v>
      </c>
      <c r="I470" s="11" t="s">
        <v>34</v>
      </c>
      <c r="J470" s="11" t="s">
        <v>890</v>
      </c>
      <c r="K470" s="11" t="s">
        <v>807</v>
      </c>
      <c r="L470" s="11" t="s">
        <v>78</v>
      </c>
      <c r="M470" s="11" t="s">
        <v>79</v>
      </c>
      <c r="N470" s="11" t="s">
        <v>27</v>
      </c>
      <c r="O470" s="11" t="s">
        <v>28</v>
      </c>
      <c r="P470" s="11" t="s">
        <v>808</v>
      </c>
      <c r="Q470" s="13">
        <v>205.33279999999999</v>
      </c>
      <c r="R470" s="11">
        <v>2</v>
      </c>
      <c r="S470" s="16">
        <v>0.32</v>
      </c>
      <c r="T470" s="13">
        <v>-36.235199999999999</v>
      </c>
      <c r="U470" s="1" t="str">
        <f t="shared" si="22"/>
        <v>Loss</v>
      </c>
      <c r="V470" s="1" t="str">
        <f t="shared" si="23"/>
        <v>Low</v>
      </c>
    </row>
    <row r="471" spans="1:22" x14ac:dyDescent="0.35">
      <c r="A471" s="11">
        <v>470</v>
      </c>
      <c r="B471" s="10">
        <v>41625</v>
      </c>
      <c r="C471" s="11">
        <v>2013</v>
      </c>
      <c r="D471" s="12" t="s">
        <v>70</v>
      </c>
      <c r="E471" s="10">
        <v>41629</v>
      </c>
      <c r="F471" s="11">
        <f t="shared" si="21"/>
        <v>4</v>
      </c>
      <c r="G471" s="11" t="s">
        <v>21</v>
      </c>
      <c r="H471" s="11" t="s">
        <v>508</v>
      </c>
      <c r="I471" s="11" t="s">
        <v>23</v>
      </c>
      <c r="J471" s="11" t="s">
        <v>890</v>
      </c>
      <c r="K471" s="11" t="s">
        <v>189</v>
      </c>
      <c r="L471" s="11" t="s">
        <v>140</v>
      </c>
      <c r="M471" s="11" t="s">
        <v>79</v>
      </c>
      <c r="N471" s="11" t="s">
        <v>38</v>
      </c>
      <c r="O471" s="11" t="s">
        <v>58</v>
      </c>
      <c r="P471" s="11" t="s">
        <v>809</v>
      </c>
      <c r="Q471" s="13">
        <v>4.7880000000000003</v>
      </c>
      <c r="R471" s="11">
        <v>3</v>
      </c>
      <c r="S471" s="16">
        <v>0.8</v>
      </c>
      <c r="T471" s="13">
        <v>-7.9001999999999999</v>
      </c>
      <c r="U471" s="1" t="str">
        <f t="shared" si="22"/>
        <v>Loss</v>
      </c>
      <c r="V471" s="1" t="str">
        <f t="shared" si="23"/>
        <v>Low</v>
      </c>
    </row>
    <row r="472" spans="1:22" x14ac:dyDescent="0.35">
      <c r="A472" s="11">
        <v>471</v>
      </c>
      <c r="B472" s="10">
        <v>41263</v>
      </c>
      <c r="C472" s="11">
        <v>2012</v>
      </c>
      <c r="D472" s="12" t="s">
        <v>70</v>
      </c>
      <c r="E472" s="10">
        <v>41267</v>
      </c>
      <c r="F472" s="11">
        <f t="shared" si="21"/>
        <v>4</v>
      </c>
      <c r="G472" s="11" t="s">
        <v>42</v>
      </c>
      <c r="H472" s="11" t="s">
        <v>810</v>
      </c>
      <c r="I472" s="11" t="s">
        <v>34</v>
      </c>
      <c r="J472" s="11" t="s">
        <v>890</v>
      </c>
      <c r="K472" s="11" t="s">
        <v>811</v>
      </c>
      <c r="L472" s="11" t="s">
        <v>171</v>
      </c>
      <c r="M472" s="11" t="s">
        <v>106</v>
      </c>
      <c r="N472" s="11" t="s">
        <v>38</v>
      </c>
      <c r="O472" s="11" t="s">
        <v>68</v>
      </c>
      <c r="P472" s="11" t="s">
        <v>812</v>
      </c>
      <c r="Q472" s="13">
        <v>55.48</v>
      </c>
      <c r="R472" s="11">
        <v>1</v>
      </c>
      <c r="S472" s="16">
        <v>0</v>
      </c>
      <c r="T472" s="13">
        <v>26.630400000000002</v>
      </c>
      <c r="U472" s="1" t="str">
        <f t="shared" si="22"/>
        <v>Profit</v>
      </c>
      <c r="V472" s="1" t="str">
        <f t="shared" si="23"/>
        <v>Low</v>
      </c>
    </row>
    <row r="473" spans="1:22" x14ac:dyDescent="0.35">
      <c r="A473" s="11">
        <v>472</v>
      </c>
      <c r="B473" s="10">
        <v>40856</v>
      </c>
      <c r="C473" s="11">
        <v>2011</v>
      </c>
      <c r="D473" s="12" t="s">
        <v>20</v>
      </c>
      <c r="E473" s="10">
        <v>40858</v>
      </c>
      <c r="F473" s="11">
        <f t="shared" si="21"/>
        <v>2</v>
      </c>
      <c r="G473" s="11" t="s">
        <v>21</v>
      </c>
      <c r="H473" s="11" t="s">
        <v>813</v>
      </c>
      <c r="I473" s="11" t="s">
        <v>23</v>
      </c>
      <c r="J473" s="11" t="s">
        <v>890</v>
      </c>
      <c r="K473" s="11" t="s">
        <v>93</v>
      </c>
      <c r="L473" s="11" t="s">
        <v>36</v>
      </c>
      <c r="M473" s="11" t="s">
        <v>37</v>
      </c>
      <c r="N473" s="11" t="s">
        <v>38</v>
      </c>
      <c r="O473" s="11" t="s">
        <v>48</v>
      </c>
      <c r="P473" s="11" t="s">
        <v>814</v>
      </c>
      <c r="Q473" s="13">
        <v>340.92</v>
      </c>
      <c r="R473" s="11">
        <v>3</v>
      </c>
      <c r="S473" s="16">
        <v>0</v>
      </c>
      <c r="T473" s="13">
        <v>3.4091999999999998</v>
      </c>
      <c r="U473" s="1" t="str">
        <f t="shared" si="22"/>
        <v>Profit</v>
      </c>
      <c r="V473" s="1" t="str">
        <f t="shared" si="23"/>
        <v>Low</v>
      </c>
    </row>
    <row r="474" spans="1:22" x14ac:dyDescent="0.35">
      <c r="A474" s="11">
        <v>473</v>
      </c>
      <c r="B474" s="10">
        <v>40856</v>
      </c>
      <c r="C474" s="11">
        <v>2011</v>
      </c>
      <c r="D474" s="12" t="s">
        <v>20</v>
      </c>
      <c r="E474" s="10">
        <v>40858</v>
      </c>
      <c r="F474" s="11">
        <f t="shared" si="21"/>
        <v>2</v>
      </c>
      <c r="G474" s="11" t="s">
        <v>21</v>
      </c>
      <c r="H474" s="11" t="s">
        <v>813</v>
      </c>
      <c r="I474" s="11" t="s">
        <v>23</v>
      </c>
      <c r="J474" s="11" t="s">
        <v>890</v>
      </c>
      <c r="K474" s="11" t="s">
        <v>93</v>
      </c>
      <c r="L474" s="11" t="s">
        <v>36</v>
      </c>
      <c r="M474" s="11" t="s">
        <v>37</v>
      </c>
      <c r="N474" s="11" t="s">
        <v>27</v>
      </c>
      <c r="O474" s="11" t="s">
        <v>28</v>
      </c>
      <c r="P474" s="11" t="s">
        <v>815</v>
      </c>
      <c r="Q474" s="13">
        <v>222.666</v>
      </c>
      <c r="R474" s="11">
        <v>2</v>
      </c>
      <c r="S474" s="16">
        <v>0.15</v>
      </c>
      <c r="T474" s="13">
        <v>10.478400000000001</v>
      </c>
      <c r="U474" s="1" t="str">
        <f t="shared" si="22"/>
        <v>Profit</v>
      </c>
      <c r="V474" s="1" t="str">
        <f t="shared" si="23"/>
        <v>Low</v>
      </c>
    </row>
    <row r="475" spans="1:22" x14ac:dyDescent="0.35">
      <c r="A475" s="11">
        <v>474</v>
      </c>
      <c r="B475" s="10">
        <v>40856</v>
      </c>
      <c r="C475" s="11">
        <v>2011</v>
      </c>
      <c r="D475" s="12" t="s">
        <v>20</v>
      </c>
      <c r="E475" s="10">
        <v>40858</v>
      </c>
      <c r="F475" s="11">
        <f t="shared" si="21"/>
        <v>2</v>
      </c>
      <c r="G475" s="11" t="s">
        <v>21</v>
      </c>
      <c r="H475" s="11" t="s">
        <v>813</v>
      </c>
      <c r="I475" s="11" t="s">
        <v>23</v>
      </c>
      <c r="J475" s="11" t="s">
        <v>890</v>
      </c>
      <c r="K475" s="11" t="s">
        <v>93</v>
      </c>
      <c r="L475" s="11" t="s">
        <v>36</v>
      </c>
      <c r="M475" s="11" t="s">
        <v>37</v>
      </c>
      <c r="N475" s="11" t="s">
        <v>55</v>
      </c>
      <c r="O475" s="11" t="s">
        <v>56</v>
      </c>
      <c r="P475" s="11" t="s">
        <v>816</v>
      </c>
      <c r="Q475" s="13">
        <v>703.96799999999996</v>
      </c>
      <c r="R475" s="11">
        <v>4</v>
      </c>
      <c r="S475" s="16">
        <v>0.2</v>
      </c>
      <c r="T475" s="13">
        <v>87.995999999999995</v>
      </c>
      <c r="U475" s="1" t="str">
        <f t="shared" si="22"/>
        <v>Profit</v>
      </c>
      <c r="V475" s="1" t="str">
        <f t="shared" si="23"/>
        <v>Medium</v>
      </c>
    </row>
    <row r="476" spans="1:22" x14ac:dyDescent="0.35">
      <c r="A476" s="11">
        <v>475</v>
      </c>
      <c r="B476" s="10">
        <v>40856</v>
      </c>
      <c r="C476" s="11">
        <v>2011</v>
      </c>
      <c r="D476" s="12" t="s">
        <v>20</v>
      </c>
      <c r="E476" s="10">
        <v>40858</v>
      </c>
      <c r="F476" s="11">
        <f t="shared" si="21"/>
        <v>2</v>
      </c>
      <c r="G476" s="11" t="s">
        <v>21</v>
      </c>
      <c r="H476" s="11" t="s">
        <v>813</v>
      </c>
      <c r="I476" s="11" t="s">
        <v>23</v>
      </c>
      <c r="J476" s="11" t="s">
        <v>890</v>
      </c>
      <c r="K476" s="11" t="s">
        <v>93</v>
      </c>
      <c r="L476" s="11" t="s">
        <v>36</v>
      </c>
      <c r="M476" s="11" t="s">
        <v>37</v>
      </c>
      <c r="N476" s="11" t="s">
        <v>38</v>
      </c>
      <c r="O476" s="11" t="s">
        <v>48</v>
      </c>
      <c r="P476" s="11" t="s">
        <v>817</v>
      </c>
      <c r="Q476" s="13">
        <v>92.52</v>
      </c>
      <c r="R476" s="11">
        <v>6</v>
      </c>
      <c r="S476" s="16">
        <v>0</v>
      </c>
      <c r="T476" s="13">
        <v>24.980399999999999</v>
      </c>
      <c r="U476" s="1" t="str">
        <f t="shared" si="22"/>
        <v>Profit</v>
      </c>
      <c r="V476" s="1" t="str">
        <f t="shared" si="23"/>
        <v>Low</v>
      </c>
    </row>
    <row r="477" spans="1:22" x14ac:dyDescent="0.35">
      <c r="A477" s="11">
        <v>476</v>
      </c>
      <c r="B477" s="10">
        <v>40856</v>
      </c>
      <c r="C477" s="11">
        <v>2011</v>
      </c>
      <c r="D477" s="12" t="s">
        <v>20</v>
      </c>
      <c r="E477" s="10">
        <v>40858</v>
      </c>
      <c r="F477" s="11">
        <f t="shared" si="21"/>
        <v>2</v>
      </c>
      <c r="G477" s="11" t="s">
        <v>21</v>
      </c>
      <c r="H477" s="11" t="s">
        <v>813</v>
      </c>
      <c r="I477" s="11" t="s">
        <v>23</v>
      </c>
      <c r="J477" s="11" t="s">
        <v>890</v>
      </c>
      <c r="K477" s="11" t="s">
        <v>93</v>
      </c>
      <c r="L477" s="11" t="s">
        <v>36</v>
      </c>
      <c r="M477" s="11" t="s">
        <v>37</v>
      </c>
      <c r="N477" s="11" t="s">
        <v>38</v>
      </c>
      <c r="O477" s="11" t="s">
        <v>68</v>
      </c>
      <c r="P477" s="11" t="s">
        <v>818</v>
      </c>
      <c r="Q477" s="13">
        <v>62.65</v>
      </c>
      <c r="R477" s="11">
        <v>7</v>
      </c>
      <c r="S477" s="16">
        <v>0</v>
      </c>
      <c r="T477" s="13">
        <v>28.818999999999999</v>
      </c>
      <c r="U477" s="1" t="str">
        <f t="shared" si="22"/>
        <v>Profit</v>
      </c>
      <c r="V477" s="1" t="str">
        <f t="shared" si="23"/>
        <v>Low</v>
      </c>
    </row>
    <row r="478" spans="1:22" x14ac:dyDescent="0.35">
      <c r="A478" s="11">
        <v>477</v>
      </c>
      <c r="B478" s="10">
        <v>40856</v>
      </c>
      <c r="C478" s="11">
        <v>2011</v>
      </c>
      <c r="D478" s="12" t="s">
        <v>20</v>
      </c>
      <c r="E478" s="10">
        <v>40858</v>
      </c>
      <c r="F478" s="11">
        <f t="shared" si="21"/>
        <v>2</v>
      </c>
      <c r="G478" s="11" t="s">
        <v>21</v>
      </c>
      <c r="H478" s="11" t="s">
        <v>813</v>
      </c>
      <c r="I478" s="11" t="s">
        <v>23</v>
      </c>
      <c r="J478" s="11" t="s">
        <v>890</v>
      </c>
      <c r="K478" s="11" t="s">
        <v>93</v>
      </c>
      <c r="L478" s="11" t="s">
        <v>36</v>
      </c>
      <c r="M478" s="11" t="s">
        <v>37</v>
      </c>
      <c r="N478" s="11" t="s">
        <v>38</v>
      </c>
      <c r="O478" s="11" t="s">
        <v>68</v>
      </c>
      <c r="P478" s="11" t="s">
        <v>819</v>
      </c>
      <c r="Q478" s="13">
        <v>94.85</v>
      </c>
      <c r="R478" s="11">
        <v>5</v>
      </c>
      <c r="S478" s="16">
        <v>0</v>
      </c>
      <c r="T478" s="13">
        <v>45.527999999999999</v>
      </c>
      <c r="U478" s="1" t="str">
        <f t="shared" si="22"/>
        <v>Profit</v>
      </c>
      <c r="V478" s="1" t="str">
        <f t="shared" si="23"/>
        <v>Low</v>
      </c>
    </row>
    <row r="479" spans="1:22" x14ac:dyDescent="0.35">
      <c r="A479" s="11">
        <v>478</v>
      </c>
      <c r="B479" s="10">
        <v>41468</v>
      </c>
      <c r="C479" s="11">
        <v>2013</v>
      </c>
      <c r="D479" s="12" t="s">
        <v>102</v>
      </c>
      <c r="E479" s="10">
        <v>41475</v>
      </c>
      <c r="F479" s="11">
        <f t="shared" si="21"/>
        <v>7</v>
      </c>
      <c r="G479" s="11" t="s">
        <v>42</v>
      </c>
      <c r="H479" s="11" t="s">
        <v>530</v>
      </c>
      <c r="I479" s="11" t="s">
        <v>34</v>
      </c>
      <c r="J479" s="11" t="s">
        <v>890</v>
      </c>
      <c r="K479" s="11" t="s">
        <v>35</v>
      </c>
      <c r="L479" s="11" t="s">
        <v>36</v>
      </c>
      <c r="M479" s="11" t="s">
        <v>37</v>
      </c>
      <c r="N479" s="11" t="s">
        <v>55</v>
      </c>
      <c r="O479" s="11" t="s">
        <v>56</v>
      </c>
      <c r="P479" s="11" t="s">
        <v>820</v>
      </c>
      <c r="Q479" s="13">
        <v>95.76</v>
      </c>
      <c r="R479" s="11">
        <v>6</v>
      </c>
      <c r="S479" s="16">
        <v>0.2</v>
      </c>
      <c r="T479" s="13">
        <v>7.1820000000000004</v>
      </c>
      <c r="U479" s="1" t="str">
        <f t="shared" si="22"/>
        <v>Profit</v>
      </c>
      <c r="V479" s="1" t="str">
        <f t="shared" si="23"/>
        <v>Low</v>
      </c>
    </row>
    <row r="480" spans="1:22" x14ac:dyDescent="0.35">
      <c r="A480" s="11">
        <v>479</v>
      </c>
      <c r="B480" s="10">
        <v>41575</v>
      </c>
      <c r="C480" s="11">
        <v>2013</v>
      </c>
      <c r="D480" s="12" t="s">
        <v>41</v>
      </c>
      <c r="E480" s="10">
        <v>41581</v>
      </c>
      <c r="F480" s="11">
        <f t="shared" si="21"/>
        <v>6</v>
      </c>
      <c r="G480" s="11" t="s">
        <v>42</v>
      </c>
      <c r="H480" s="11" t="s">
        <v>821</v>
      </c>
      <c r="I480" s="11" t="s">
        <v>23</v>
      </c>
      <c r="J480" s="11" t="s">
        <v>890</v>
      </c>
      <c r="K480" s="11" t="s">
        <v>176</v>
      </c>
      <c r="L480" s="11" t="s">
        <v>171</v>
      </c>
      <c r="M480" s="11" t="s">
        <v>106</v>
      </c>
      <c r="N480" s="11" t="s">
        <v>27</v>
      </c>
      <c r="O480" s="11" t="s">
        <v>51</v>
      </c>
      <c r="P480" s="11" t="s">
        <v>574</v>
      </c>
      <c r="Q480" s="13">
        <v>40.200000000000003</v>
      </c>
      <c r="R480" s="11">
        <v>3</v>
      </c>
      <c r="S480" s="16">
        <v>0</v>
      </c>
      <c r="T480" s="13">
        <v>19.295999999999999</v>
      </c>
      <c r="U480" s="1" t="str">
        <f t="shared" si="22"/>
        <v>Profit</v>
      </c>
      <c r="V480" s="1" t="str">
        <f t="shared" si="23"/>
        <v>Low</v>
      </c>
    </row>
    <row r="481" spans="1:22" x14ac:dyDescent="0.35">
      <c r="A481" s="11">
        <v>480</v>
      </c>
      <c r="B481" s="10">
        <v>41452</v>
      </c>
      <c r="C481" s="11">
        <v>2013</v>
      </c>
      <c r="D481" s="12" t="s">
        <v>32</v>
      </c>
      <c r="E481" s="10">
        <v>41458</v>
      </c>
      <c r="F481" s="11">
        <f t="shared" si="21"/>
        <v>6</v>
      </c>
      <c r="G481" s="11" t="s">
        <v>42</v>
      </c>
      <c r="H481" s="11" t="s">
        <v>822</v>
      </c>
      <c r="I481" s="11" t="s">
        <v>34</v>
      </c>
      <c r="J481" s="11" t="s">
        <v>890</v>
      </c>
      <c r="K481" s="11" t="s">
        <v>170</v>
      </c>
      <c r="L481" s="11" t="s">
        <v>171</v>
      </c>
      <c r="M481" s="11" t="s">
        <v>106</v>
      </c>
      <c r="N481" s="11" t="s">
        <v>38</v>
      </c>
      <c r="O481" s="11" t="s">
        <v>53</v>
      </c>
      <c r="P481" s="11" t="s">
        <v>823</v>
      </c>
      <c r="Q481" s="13">
        <v>14.7</v>
      </c>
      <c r="R481" s="11">
        <v>5</v>
      </c>
      <c r="S481" s="16">
        <v>0</v>
      </c>
      <c r="T481" s="13">
        <v>6.6150000000000002</v>
      </c>
      <c r="U481" s="1" t="str">
        <f t="shared" si="22"/>
        <v>Profit</v>
      </c>
      <c r="V481" s="1" t="str">
        <f t="shared" si="23"/>
        <v>Low</v>
      </c>
    </row>
    <row r="482" spans="1:22" x14ac:dyDescent="0.35">
      <c r="A482" s="11">
        <v>481</v>
      </c>
      <c r="B482" s="10">
        <v>41452</v>
      </c>
      <c r="C482" s="11">
        <v>2013</v>
      </c>
      <c r="D482" s="12" t="s">
        <v>32</v>
      </c>
      <c r="E482" s="10">
        <v>41458</v>
      </c>
      <c r="F482" s="11">
        <f t="shared" si="21"/>
        <v>6</v>
      </c>
      <c r="G482" s="11" t="s">
        <v>42</v>
      </c>
      <c r="H482" s="11" t="s">
        <v>822</v>
      </c>
      <c r="I482" s="11" t="s">
        <v>34</v>
      </c>
      <c r="J482" s="11" t="s">
        <v>890</v>
      </c>
      <c r="K482" s="11" t="s">
        <v>170</v>
      </c>
      <c r="L482" s="11" t="s">
        <v>171</v>
      </c>
      <c r="M482" s="11" t="s">
        <v>106</v>
      </c>
      <c r="N482" s="11" t="s">
        <v>38</v>
      </c>
      <c r="O482" s="11" t="s">
        <v>48</v>
      </c>
      <c r="P482" s="11" t="s">
        <v>824</v>
      </c>
      <c r="Q482" s="13">
        <v>704.25</v>
      </c>
      <c r="R482" s="11">
        <v>5</v>
      </c>
      <c r="S482" s="16">
        <v>0</v>
      </c>
      <c r="T482" s="13">
        <v>84.51</v>
      </c>
      <c r="U482" s="1" t="str">
        <f t="shared" si="22"/>
        <v>Profit</v>
      </c>
      <c r="V482" s="1" t="str">
        <f t="shared" si="23"/>
        <v>Medium</v>
      </c>
    </row>
    <row r="483" spans="1:22" x14ac:dyDescent="0.35">
      <c r="A483" s="11">
        <v>482</v>
      </c>
      <c r="B483" s="10">
        <v>40822</v>
      </c>
      <c r="C483" s="11">
        <v>2011</v>
      </c>
      <c r="D483" s="12" t="s">
        <v>41</v>
      </c>
      <c r="E483" s="10">
        <v>40826</v>
      </c>
      <c r="F483" s="11">
        <f t="shared" si="21"/>
        <v>4</v>
      </c>
      <c r="G483" s="11" t="s">
        <v>42</v>
      </c>
      <c r="H483" s="11" t="s">
        <v>825</v>
      </c>
      <c r="I483" s="11" t="s">
        <v>23</v>
      </c>
      <c r="J483" s="11" t="s">
        <v>890</v>
      </c>
      <c r="K483" s="11" t="s">
        <v>500</v>
      </c>
      <c r="L483" s="11" t="s">
        <v>36</v>
      </c>
      <c r="M483" s="11" t="s">
        <v>37</v>
      </c>
      <c r="N483" s="11" t="s">
        <v>55</v>
      </c>
      <c r="O483" s="11" t="s">
        <v>114</v>
      </c>
      <c r="P483" s="11" t="s">
        <v>826</v>
      </c>
      <c r="Q483" s="13">
        <v>9.09</v>
      </c>
      <c r="R483" s="11">
        <v>3</v>
      </c>
      <c r="S483" s="16">
        <v>0</v>
      </c>
      <c r="T483" s="13">
        <v>1.9089</v>
      </c>
      <c r="U483" s="1" t="str">
        <f t="shared" si="22"/>
        <v>Profit</v>
      </c>
      <c r="V483" s="1" t="str">
        <f t="shared" si="23"/>
        <v>Low</v>
      </c>
    </row>
    <row r="484" spans="1:22" x14ac:dyDescent="0.35">
      <c r="A484" s="11">
        <v>483</v>
      </c>
      <c r="B484" s="10">
        <v>40746</v>
      </c>
      <c r="C484" s="11">
        <v>2011</v>
      </c>
      <c r="D484" s="12" t="s">
        <v>102</v>
      </c>
      <c r="E484" s="10">
        <v>40751</v>
      </c>
      <c r="F484" s="11">
        <f t="shared" si="21"/>
        <v>5</v>
      </c>
      <c r="G484" s="11" t="s">
        <v>42</v>
      </c>
      <c r="H484" s="11" t="s">
        <v>827</v>
      </c>
      <c r="I484" s="11" t="s">
        <v>23</v>
      </c>
      <c r="J484" s="11" t="s">
        <v>890</v>
      </c>
      <c r="K484" s="11" t="s">
        <v>170</v>
      </c>
      <c r="L484" s="11" t="s">
        <v>171</v>
      </c>
      <c r="M484" s="11" t="s">
        <v>106</v>
      </c>
      <c r="N484" s="11" t="s">
        <v>38</v>
      </c>
      <c r="O484" s="11" t="s">
        <v>53</v>
      </c>
      <c r="P484" s="11" t="s">
        <v>221</v>
      </c>
      <c r="Q484" s="13">
        <v>5.96</v>
      </c>
      <c r="R484" s="11">
        <v>2</v>
      </c>
      <c r="S484" s="16">
        <v>0</v>
      </c>
      <c r="T484" s="13">
        <v>1.6688000000000001</v>
      </c>
      <c r="U484" s="1" t="str">
        <f t="shared" si="22"/>
        <v>Profit</v>
      </c>
      <c r="V484" s="1" t="str">
        <f t="shared" si="23"/>
        <v>Low</v>
      </c>
    </row>
    <row r="485" spans="1:22" x14ac:dyDescent="0.35">
      <c r="A485" s="11">
        <v>484</v>
      </c>
      <c r="B485" s="10">
        <v>40746</v>
      </c>
      <c r="C485" s="11">
        <v>2011</v>
      </c>
      <c r="D485" s="12" t="s">
        <v>102</v>
      </c>
      <c r="E485" s="10">
        <v>40751</v>
      </c>
      <c r="F485" s="11">
        <f t="shared" si="21"/>
        <v>5</v>
      </c>
      <c r="G485" s="11" t="s">
        <v>42</v>
      </c>
      <c r="H485" s="11" t="s">
        <v>827</v>
      </c>
      <c r="I485" s="11" t="s">
        <v>23</v>
      </c>
      <c r="J485" s="11" t="s">
        <v>890</v>
      </c>
      <c r="K485" s="11" t="s">
        <v>170</v>
      </c>
      <c r="L485" s="11" t="s">
        <v>171</v>
      </c>
      <c r="M485" s="11" t="s">
        <v>106</v>
      </c>
      <c r="N485" s="11" t="s">
        <v>55</v>
      </c>
      <c r="O485" s="11" t="s">
        <v>114</v>
      </c>
      <c r="P485" s="11" t="s">
        <v>828</v>
      </c>
      <c r="Q485" s="13">
        <v>159.97999999999999</v>
      </c>
      <c r="R485" s="11">
        <v>2</v>
      </c>
      <c r="S485" s="16">
        <v>0</v>
      </c>
      <c r="T485" s="13">
        <v>57.592799999999997</v>
      </c>
      <c r="U485" s="1" t="str">
        <f t="shared" si="22"/>
        <v>Profit</v>
      </c>
      <c r="V485" s="1" t="str">
        <f t="shared" si="23"/>
        <v>Low</v>
      </c>
    </row>
    <row r="486" spans="1:22" x14ac:dyDescent="0.35">
      <c r="A486" s="11">
        <v>485</v>
      </c>
      <c r="B486" s="10">
        <v>41801</v>
      </c>
      <c r="C486" s="11">
        <v>2014</v>
      </c>
      <c r="D486" s="12" t="s">
        <v>32</v>
      </c>
      <c r="E486" s="10">
        <v>41804</v>
      </c>
      <c r="F486" s="11">
        <f t="shared" si="21"/>
        <v>3</v>
      </c>
      <c r="G486" s="11" t="s">
        <v>128</v>
      </c>
      <c r="H486" s="11" t="s">
        <v>829</v>
      </c>
      <c r="I486" s="11" t="s">
        <v>76</v>
      </c>
      <c r="J486" s="11" t="s">
        <v>890</v>
      </c>
      <c r="K486" s="11" t="s">
        <v>35</v>
      </c>
      <c r="L486" s="11" t="s">
        <v>36</v>
      </c>
      <c r="M486" s="11" t="s">
        <v>37</v>
      </c>
      <c r="N486" s="11" t="s">
        <v>38</v>
      </c>
      <c r="O486" s="11" t="s">
        <v>39</v>
      </c>
      <c r="P486" s="11" t="s">
        <v>830</v>
      </c>
      <c r="Q486" s="13">
        <v>29.6</v>
      </c>
      <c r="R486" s="11">
        <v>2</v>
      </c>
      <c r="S486" s="16">
        <v>0</v>
      </c>
      <c r="T486" s="13">
        <v>14.8</v>
      </c>
      <c r="U486" s="1" t="str">
        <f t="shared" si="22"/>
        <v>Profit</v>
      </c>
      <c r="V486" s="1" t="str">
        <f t="shared" si="23"/>
        <v>Low</v>
      </c>
    </row>
    <row r="487" spans="1:22" x14ac:dyDescent="0.35">
      <c r="A487" s="11">
        <v>486</v>
      </c>
      <c r="B487" s="10">
        <v>41801</v>
      </c>
      <c r="C487" s="11">
        <v>2014</v>
      </c>
      <c r="D487" s="12" t="s">
        <v>32</v>
      </c>
      <c r="E487" s="10">
        <v>41804</v>
      </c>
      <c r="F487" s="11">
        <f t="shared" si="21"/>
        <v>3</v>
      </c>
      <c r="G487" s="11" t="s">
        <v>128</v>
      </c>
      <c r="H487" s="11" t="s">
        <v>829</v>
      </c>
      <c r="I487" s="11" t="s">
        <v>76</v>
      </c>
      <c r="J487" s="11" t="s">
        <v>890</v>
      </c>
      <c r="K487" s="11" t="s">
        <v>35</v>
      </c>
      <c r="L487" s="11" t="s">
        <v>36</v>
      </c>
      <c r="M487" s="11" t="s">
        <v>37</v>
      </c>
      <c r="N487" s="11" t="s">
        <v>27</v>
      </c>
      <c r="O487" s="11" t="s">
        <v>28</v>
      </c>
      <c r="P487" s="11" t="s">
        <v>831</v>
      </c>
      <c r="Q487" s="13">
        <v>514.16499999999996</v>
      </c>
      <c r="R487" s="11">
        <v>5</v>
      </c>
      <c r="S487" s="16">
        <v>0.15</v>
      </c>
      <c r="T487" s="13">
        <v>-30.245000000000001</v>
      </c>
      <c r="U487" s="1" t="str">
        <f t="shared" si="22"/>
        <v>Loss</v>
      </c>
      <c r="V487" s="1" t="str">
        <f t="shared" si="23"/>
        <v>Medium</v>
      </c>
    </row>
    <row r="488" spans="1:22" x14ac:dyDescent="0.35">
      <c r="A488" s="11">
        <v>487</v>
      </c>
      <c r="B488" s="10">
        <v>41801</v>
      </c>
      <c r="C488" s="11">
        <v>2014</v>
      </c>
      <c r="D488" s="12" t="s">
        <v>32</v>
      </c>
      <c r="E488" s="10">
        <v>41804</v>
      </c>
      <c r="F488" s="11">
        <f t="shared" si="21"/>
        <v>3</v>
      </c>
      <c r="G488" s="11" t="s">
        <v>128</v>
      </c>
      <c r="H488" s="11" t="s">
        <v>829</v>
      </c>
      <c r="I488" s="11" t="s">
        <v>76</v>
      </c>
      <c r="J488" s="11" t="s">
        <v>890</v>
      </c>
      <c r="K488" s="11" t="s">
        <v>35</v>
      </c>
      <c r="L488" s="11" t="s">
        <v>36</v>
      </c>
      <c r="M488" s="11" t="s">
        <v>37</v>
      </c>
      <c r="N488" s="11" t="s">
        <v>55</v>
      </c>
      <c r="O488" s="11" t="s">
        <v>56</v>
      </c>
      <c r="P488" s="11" t="s">
        <v>832</v>
      </c>
      <c r="Q488" s="13">
        <v>279.95999999999998</v>
      </c>
      <c r="R488" s="11">
        <v>5</v>
      </c>
      <c r="S488" s="16">
        <v>0.2</v>
      </c>
      <c r="T488" s="13">
        <v>17.497499999999999</v>
      </c>
      <c r="U488" s="1" t="str">
        <f t="shared" si="22"/>
        <v>Profit</v>
      </c>
      <c r="V488" s="1" t="str">
        <f t="shared" si="23"/>
        <v>Low</v>
      </c>
    </row>
    <row r="489" spans="1:22" x14ac:dyDescent="0.35">
      <c r="A489" s="11">
        <v>488</v>
      </c>
      <c r="B489" s="10">
        <v>40845</v>
      </c>
      <c r="C489" s="11">
        <v>2011</v>
      </c>
      <c r="D489" s="12" t="s">
        <v>41</v>
      </c>
      <c r="E489" s="10">
        <v>40847</v>
      </c>
      <c r="F489" s="11">
        <f t="shared" si="21"/>
        <v>2</v>
      </c>
      <c r="G489" s="11" t="s">
        <v>128</v>
      </c>
      <c r="H489" s="11" t="s">
        <v>833</v>
      </c>
      <c r="I489" s="11" t="s">
        <v>23</v>
      </c>
      <c r="J489" s="11" t="s">
        <v>890</v>
      </c>
      <c r="K489" s="11" t="s">
        <v>189</v>
      </c>
      <c r="L489" s="11" t="s">
        <v>140</v>
      </c>
      <c r="M489" s="11" t="s">
        <v>79</v>
      </c>
      <c r="N489" s="11" t="s">
        <v>55</v>
      </c>
      <c r="O489" s="11" t="s">
        <v>56</v>
      </c>
      <c r="P489" s="11" t="s">
        <v>834</v>
      </c>
      <c r="Q489" s="13">
        <v>2735.9520000000002</v>
      </c>
      <c r="R489" s="11">
        <v>6</v>
      </c>
      <c r="S489" s="16">
        <v>0.2</v>
      </c>
      <c r="T489" s="13">
        <v>341.99400000000003</v>
      </c>
      <c r="U489" s="1" t="str">
        <f t="shared" si="22"/>
        <v>Profit</v>
      </c>
      <c r="V489" s="1" t="str">
        <f t="shared" si="23"/>
        <v>High</v>
      </c>
    </row>
    <row r="490" spans="1:22" x14ac:dyDescent="0.35">
      <c r="A490" s="11">
        <v>489</v>
      </c>
      <c r="B490" s="10">
        <v>40703</v>
      </c>
      <c r="C490" s="11">
        <v>2011</v>
      </c>
      <c r="D490" s="12" t="s">
        <v>32</v>
      </c>
      <c r="E490" s="10">
        <v>40707</v>
      </c>
      <c r="F490" s="11">
        <f t="shared" si="21"/>
        <v>4</v>
      </c>
      <c r="G490" s="11" t="s">
        <v>21</v>
      </c>
      <c r="H490" s="11" t="s">
        <v>835</v>
      </c>
      <c r="I490" s="11" t="s">
        <v>76</v>
      </c>
      <c r="J490" s="11" t="s">
        <v>890</v>
      </c>
      <c r="K490" s="11" t="s">
        <v>836</v>
      </c>
      <c r="L490" s="11" t="s">
        <v>78</v>
      </c>
      <c r="M490" s="11" t="s">
        <v>79</v>
      </c>
      <c r="N490" s="11" t="s">
        <v>55</v>
      </c>
      <c r="O490" s="11" t="s">
        <v>56</v>
      </c>
      <c r="P490" s="11" t="s">
        <v>837</v>
      </c>
      <c r="Q490" s="13">
        <v>7.992</v>
      </c>
      <c r="R490" s="11">
        <v>1</v>
      </c>
      <c r="S490" s="16">
        <v>0.2</v>
      </c>
      <c r="T490" s="13">
        <v>0.59940000000000004</v>
      </c>
      <c r="U490" s="1" t="str">
        <f t="shared" si="22"/>
        <v>Profit</v>
      </c>
      <c r="V490" s="1" t="str">
        <f t="shared" si="23"/>
        <v>Low</v>
      </c>
    </row>
    <row r="491" spans="1:22" x14ac:dyDescent="0.35">
      <c r="A491" s="11">
        <v>490</v>
      </c>
      <c r="B491" s="10">
        <v>40703</v>
      </c>
      <c r="C491" s="11">
        <v>2011</v>
      </c>
      <c r="D491" s="12" t="s">
        <v>32</v>
      </c>
      <c r="E491" s="10">
        <v>40707</v>
      </c>
      <c r="F491" s="11">
        <f t="shared" si="21"/>
        <v>4</v>
      </c>
      <c r="G491" s="11" t="s">
        <v>21</v>
      </c>
      <c r="H491" s="11" t="s">
        <v>835</v>
      </c>
      <c r="I491" s="11" t="s">
        <v>76</v>
      </c>
      <c r="J491" s="11" t="s">
        <v>890</v>
      </c>
      <c r="K491" s="11" t="s">
        <v>836</v>
      </c>
      <c r="L491" s="11" t="s">
        <v>78</v>
      </c>
      <c r="M491" s="11" t="s">
        <v>79</v>
      </c>
      <c r="N491" s="11" t="s">
        <v>55</v>
      </c>
      <c r="O491" s="11" t="s">
        <v>114</v>
      </c>
      <c r="P491" s="11" t="s">
        <v>838</v>
      </c>
      <c r="Q491" s="13">
        <v>63.984000000000002</v>
      </c>
      <c r="R491" s="11">
        <v>2</v>
      </c>
      <c r="S491" s="16">
        <v>0.2</v>
      </c>
      <c r="T491" s="13">
        <v>10.397399999999999</v>
      </c>
      <c r="U491" s="1" t="str">
        <f t="shared" si="22"/>
        <v>Profit</v>
      </c>
      <c r="V491" s="1" t="str">
        <f t="shared" si="23"/>
        <v>Low</v>
      </c>
    </row>
    <row r="492" spans="1:22" x14ac:dyDescent="0.35">
      <c r="A492" s="11">
        <v>491</v>
      </c>
      <c r="B492" s="10">
        <v>40703</v>
      </c>
      <c r="C492" s="11">
        <v>2011</v>
      </c>
      <c r="D492" s="12" t="s">
        <v>32</v>
      </c>
      <c r="E492" s="10">
        <v>40707</v>
      </c>
      <c r="F492" s="11">
        <f t="shared" si="21"/>
        <v>4</v>
      </c>
      <c r="G492" s="11" t="s">
        <v>21</v>
      </c>
      <c r="H492" s="11" t="s">
        <v>835</v>
      </c>
      <c r="I492" s="11" t="s">
        <v>76</v>
      </c>
      <c r="J492" s="11" t="s">
        <v>890</v>
      </c>
      <c r="K492" s="11" t="s">
        <v>836</v>
      </c>
      <c r="L492" s="11" t="s">
        <v>78</v>
      </c>
      <c r="M492" s="11" t="s">
        <v>79</v>
      </c>
      <c r="N492" s="11" t="s">
        <v>38</v>
      </c>
      <c r="O492" s="11" t="s">
        <v>53</v>
      </c>
      <c r="P492" s="11" t="s">
        <v>786</v>
      </c>
      <c r="Q492" s="13">
        <v>70.367999999999995</v>
      </c>
      <c r="R492" s="11">
        <v>2</v>
      </c>
      <c r="S492" s="16">
        <v>0.2</v>
      </c>
      <c r="T492" s="13">
        <v>6.1571999999999996</v>
      </c>
      <c r="U492" s="1" t="str">
        <f t="shared" si="22"/>
        <v>Profit</v>
      </c>
      <c r="V492" s="1" t="str">
        <f t="shared" si="23"/>
        <v>Low</v>
      </c>
    </row>
    <row r="493" spans="1:22" x14ac:dyDescent="0.35">
      <c r="A493" s="11">
        <v>492</v>
      </c>
      <c r="B493" s="10">
        <v>40800</v>
      </c>
      <c r="C493" s="11">
        <v>2011</v>
      </c>
      <c r="D493" s="12" t="s">
        <v>108</v>
      </c>
      <c r="E493" s="10">
        <v>40805</v>
      </c>
      <c r="F493" s="11">
        <f t="shared" si="21"/>
        <v>5</v>
      </c>
      <c r="G493" s="11" t="s">
        <v>42</v>
      </c>
      <c r="H493" s="11" t="s">
        <v>839</v>
      </c>
      <c r="I493" s="11" t="s">
        <v>23</v>
      </c>
      <c r="J493" s="11" t="s">
        <v>890</v>
      </c>
      <c r="K493" s="11" t="s">
        <v>232</v>
      </c>
      <c r="L493" s="11" t="s">
        <v>171</v>
      </c>
      <c r="M493" s="11" t="s">
        <v>106</v>
      </c>
      <c r="N493" s="11" t="s">
        <v>38</v>
      </c>
      <c r="O493" s="11" t="s">
        <v>48</v>
      </c>
      <c r="P493" s="11" t="s">
        <v>840</v>
      </c>
      <c r="Q493" s="13">
        <v>449.15</v>
      </c>
      <c r="R493" s="11">
        <v>5</v>
      </c>
      <c r="S493" s="16">
        <v>0</v>
      </c>
      <c r="T493" s="13">
        <v>8.9830000000000005</v>
      </c>
      <c r="U493" s="1" t="str">
        <f t="shared" si="22"/>
        <v>Profit</v>
      </c>
      <c r="V493" s="1" t="str">
        <f t="shared" si="23"/>
        <v>Low</v>
      </c>
    </row>
    <row r="494" spans="1:22" x14ac:dyDescent="0.35">
      <c r="A494" s="11">
        <v>493</v>
      </c>
      <c r="B494" s="10">
        <v>40800</v>
      </c>
      <c r="C494" s="11">
        <v>2011</v>
      </c>
      <c r="D494" s="12" t="s">
        <v>108</v>
      </c>
      <c r="E494" s="10">
        <v>40805</v>
      </c>
      <c r="F494" s="11">
        <f t="shared" si="21"/>
        <v>5</v>
      </c>
      <c r="G494" s="11" t="s">
        <v>42</v>
      </c>
      <c r="H494" s="11" t="s">
        <v>839</v>
      </c>
      <c r="I494" s="11" t="s">
        <v>23</v>
      </c>
      <c r="J494" s="11" t="s">
        <v>890</v>
      </c>
      <c r="K494" s="11" t="s">
        <v>232</v>
      </c>
      <c r="L494" s="11" t="s">
        <v>171</v>
      </c>
      <c r="M494" s="11" t="s">
        <v>106</v>
      </c>
      <c r="N494" s="11" t="s">
        <v>38</v>
      </c>
      <c r="O494" s="11" t="s">
        <v>120</v>
      </c>
      <c r="P494" s="11" t="s">
        <v>841</v>
      </c>
      <c r="Q494" s="13">
        <v>11.07</v>
      </c>
      <c r="R494" s="11">
        <v>3</v>
      </c>
      <c r="S494" s="16">
        <v>0</v>
      </c>
      <c r="T494" s="13">
        <v>5.0922000000000001</v>
      </c>
      <c r="U494" s="1" t="str">
        <f t="shared" si="22"/>
        <v>Profit</v>
      </c>
      <c r="V494" s="1" t="str">
        <f t="shared" si="23"/>
        <v>Low</v>
      </c>
    </row>
    <row r="495" spans="1:22" x14ac:dyDescent="0.35">
      <c r="A495" s="11">
        <v>494</v>
      </c>
      <c r="B495" s="10">
        <v>41404</v>
      </c>
      <c r="C495" s="11">
        <v>2013</v>
      </c>
      <c r="D495" s="12" t="s">
        <v>86</v>
      </c>
      <c r="E495" s="10">
        <v>41409</v>
      </c>
      <c r="F495" s="11">
        <f t="shared" si="21"/>
        <v>5</v>
      </c>
      <c r="G495" s="11" t="s">
        <v>42</v>
      </c>
      <c r="H495" s="11" t="s">
        <v>842</v>
      </c>
      <c r="I495" s="11" t="s">
        <v>23</v>
      </c>
      <c r="J495" s="11" t="s">
        <v>890</v>
      </c>
      <c r="K495" s="11" t="s">
        <v>72</v>
      </c>
      <c r="L495" s="11" t="s">
        <v>73</v>
      </c>
      <c r="M495" s="11" t="s">
        <v>37</v>
      </c>
      <c r="N495" s="11" t="s">
        <v>55</v>
      </c>
      <c r="O495" s="11" t="s">
        <v>114</v>
      </c>
      <c r="P495" s="11" t="s">
        <v>843</v>
      </c>
      <c r="Q495" s="13">
        <v>93.98</v>
      </c>
      <c r="R495" s="11">
        <v>2</v>
      </c>
      <c r="S495" s="16">
        <v>0</v>
      </c>
      <c r="T495" s="13">
        <v>13.1572</v>
      </c>
      <c r="U495" s="1" t="str">
        <f t="shared" si="22"/>
        <v>Profit</v>
      </c>
      <c r="V495" s="1" t="str">
        <f t="shared" si="23"/>
        <v>Low</v>
      </c>
    </row>
    <row r="496" spans="1:22" x14ac:dyDescent="0.35">
      <c r="A496" s="11">
        <v>495</v>
      </c>
      <c r="B496" s="10">
        <v>41352</v>
      </c>
      <c r="C496" s="11">
        <v>2013</v>
      </c>
      <c r="D496" s="12" t="s">
        <v>147</v>
      </c>
      <c r="E496" s="10">
        <v>41355</v>
      </c>
      <c r="F496" s="11">
        <f t="shared" si="21"/>
        <v>3</v>
      </c>
      <c r="G496" s="11" t="s">
        <v>21</v>
      </c>
      <c r="H496" s="11" t="s">
        <v>844</v>
      </c>
      <c r="I496" s="11" t="s">
        <v>23</v>
      </c>
      <c r="J496" s="11" t="s">
        <v>890</v>
      </c>
      <c r="K496" s="11" t="s">
        <v>205</v>
      </c>
      <c r="L496" s="11" t="s">
        <v>206</v>
      </c>
      <c r="M496" s="11" t="s">
        <v>26</v>
      </c>
      <c r="N496" s="11" t="s">
        <v>27</v>
      </c>
      <c r="O496" s="11" t="s">
        <v>46</v>
      </c>
      <c r="P496" s="11" t="s">
        <v>845</v>
      </c>
      <c r="Q496" s="13">
        <v>189.88200000000001</v>
      </c>
      <c r="R496" s="11">
        <v>3</v>
      </c>
      <c r="S496" s="16">
        <v>0.4</v>
      </c>
      <c r="T496" s="13">
        <v>-94.941000000000003</v>
      </c>
      <c r="U496" s="1" t="str">
        <f t="shared" si="22"/>
        <v>Loss</v>
      </c>
      <c r="V496" s="1" t="str">
        <f t="shared" si="23"/>
        <v>Low</v>
      </c>
    </row>
    <row r="497" spans="1:22" x14ac:dyDescent="0.35">
      <c r="A497" s="11">
        <v>496</v>
      </c>
      <c r="B497" s="10">
        <v>41270</v>
      </c>
      <c r="C497" s="11">
        <v>2012</v>
      </c>
      <c r="D497" s="12" t="s">
        <v>70</v>
      </c>
      <c r="E497" s="10">
        <v>41274</v>
      </c>
      <c r="F497" s="11">
        <f t="shared" si="21"/>
        <v>4</v>
      </c>
      <c r="G497" s="11" t="s">
        <v>42</v>
      </c>
      <c r="H497" s="11" t="s">
        <v>846</v>
      </c>
      <c r="I497" s="11" t="s">
        <v>23</v>
      </c>
      <c r="J497" s="11" t="s">
        <v>890</v>
      </c>
      <c r="K497" s="11" t="s">
        <v>847</v>
      </c>
      <c r="L497" s="11" t="s">
        <v>848</v>
      </c>
      <c r="M497" s="11" t="s">
        <v>26</v>
      </c>
      <c r="N497" s="11" t="s">
        <v>38</v>
      </c>
      <c r="O497" s="11" t="s">
        <v>120</v>
      </c>
      <c r="P497" s="11" t="s">
        <v>849</v>
      </c>
      <c r="Q497" s="13">
        <v>105.42</v>
      </c>
      <c r="R497" s="11">
        <v>2</v>
      </c>
      <c r="S497" s="16">
        <v>0</v>
      </c>
      <c r="T497" s="13">
        <v>51.655799999999999</v>
      </c>
      <c r="U497" s="1" t="str">
        <f t="shared" si="22"/>
        <v>Profit</v>
      </c>
      <c r="V497" s="1" t="str">
        <f t="shared" si="23"/>
        <v>Low</v>
      </c>
    </row>
    <row r="498" spans="1:22" x14ac:dyDescent="0.35">
      <c r="A498" s="11">
        <v>497</v>
      </c>
      <c r="B498" s="10">
        <v>41481</v>
      </c>
      <c r="C498" s="11">
        <v>2013</v>
      </c>
      <c r="D498" s="12" t="s">
        <v>102</v>
      </c>
      <c r="E498" s="10">
        <v>41487</v>
      </c>
      <c r="F498" s="11">
        <f t="shared" si="21"/>
        <v>6</v>
      </c>
      <c r="G498" s="11" t="s">
        <v>42</v>
      </c>
      <c r="H498" s="11" t="s">
        <v>794</v>
      </c>
      <c r="I498" s="11" t="s">
        <v>23</v>
      </c>
      <c r="J498" s="11" t="s">
        <v>890</v>
      </c>
      <c r="K498" s="11" t="s">
        <v>850</v>
      </c>
      <c r="L498" s="11" t="s">
        <v>36</v>
      </c>
      <c r="M498" s="11" t="s">
        <v>37</v>
      </c>
      <c r="N498" s="11" t="s">
        <v>38</v>
      </c>
      <c r="O498" s="11" t="s">
        <v>58</v>
      </c>
      <c r="P498" s="11" t="s">
        <v>851</v>
      </c>
      <c r="Q498" s="13">
        <v>119.616</v>
      </c>
      <c r="R498" s="11">
        <v>8</v>
      </c>
      <c r="S498" s="16">
        <v>0.2</v>
      </c>
      <c r="T498" s="13">
        <v>40.370399999999997</v>
      </c>
      <c r="U498" s="1" t="str">
        <f t="shared" si="22"/>
        <v>Profit</v>
      </c>
      <c r="V498" s="1" t="str">
        <f t="shared" si="23"/>
        <v>Low</v>
      </c>
    </row>
    <row r="499" spans="1:22" x14ac:dyDescent="0.35">
      <c r="A499" s="11">
        <v>498</v>
      </c>
      <c r="B499" s="10">
        <v>41481</v>
      </c>
      <c r="C499" s="11">
        <v>2013</v>
      </c>
      <c r="D499" s="12" t="s">
        <v>102</v>
      </c>
      <c r="E499" s="10">
        <v>41487</v>
      </c>
      <c r="F499" s="11">
        <f t="shared" si="21"/>
        <v>6</v>
      </c>
      <c r="G499" s="11" t="s">
        <v>42</v>
      </c>
      <c r="H499" s="11" t="s">
        <v>794</v>
      </c>
      <c r="I499" s="11" t="s">
        <v>23</v>
      </c>
      <c r="J499" s="11" t="s">
        <v>890</v>
      </c>
      <c r="K499" s="11" t="s">
        <v>850</v>
      </c>
      <c r="L499" s="11" t="s">
        <v>36</v>
      </c>
      <c r="M499" s="11" t="s">
        <v>37</v>
      </c>
      <c r="N499" s="11" t="s">
        <v>27</v>
      </c>
      <c r="O499" s="11" t="s">
        <v>51</v>
      </c>
      <c r="P499" s="11" t="s">
        <v>852</v>
      </c>
      <c r="Q499" s="13">
        <v>255.76</v>
      </c>
      <c r="R499" s="11">
        <v>4</v>
      </c>
      <c r="S499" s="16">
        <v>0</v>
      </c>
      <c r="T499" s="13">
        <v>81.843199999999996</v>
      </c>
      <c r="U499" s="1" t="str">
        <f t="shared" si="22"/>
        <v>Profit</v>
      </c>
      <c r="V499" s="1" t="str">
        <f t="shared" si="23"/>
        <v>Low</v>
      </c>
    </row>
    <row r="500" spans="1:22" x14ac:dyDescent="0.35">
      <c r="A500" s="11">
        <v>499</v>
      </c>
      <c r="B500" s="10">
        <v>41481</v>
      </c>
      <c r="C500" s="11">
        <v>2013</v>
      </c>
      <c r="D500" s="12" t="s">
        <v>102</v>
      </c>
      <c r="E500" s="10">
        <v>41487</v>
      </c>
      <c r="F500" s="11">
        <f t="shared" si="21"/>
        <v>6</v>
      </c>
      <c r="G500" s="11" t="s">
        <v>42</v>
      </c>
      <c r="H500" s="11" t="s">
        <v>794</v>
      </c>
      <c r="I500" s="11" t="s">
        <v>23</v>
      </c>
      <c r="J500" s="11" t="s">
        <v>890</v>
      </c>
      <c r="K500" s="11" t="s">
        <v>850</v>
      </c>
      <c r="L500" s="11" t="s">
        <v>36</v>
      </c>
      <c r="M500" s="11" t="s">
        <v>37</v>
      </c>
      <c r="N500" s="11" t="s">
        <v>27</v>
      </c>
      <c r="O500" s="11" t="s">
        <v>30</v>
      </c>
      <c r="P500" s="11" t="s">
        <v>600</v>
      </c>
      <c r="Q500" s="13">
        <v>241.56800000000001</v>
      </c>
      <c r="R500" s="11">
        <v>2</v>
      </c>
      <c r="S500" s="16">
        <v>0.2</v>
      </c>
      <c r="T500" s="13">
        <v>18.117599999999999</v>
      </c>
      <c r="U500" s="1" t="str">
        <f t="shared" si="22"/>
        <v>Profit</v>
      </c>
      <c r="V500" s="1" t="str">
        <f t="shared" si="23"/>
        <v>Low</v>
      </c>
    </row>
    <row r="501" spans="1:22" x14ac:dyDescent="0.35">
      <c r="A501" s="11">
        <v>500</v>
      </c>
      <c r="B501" s="10">
        <v>41481</v>
      </c>
      <c r="C501" s="11">
        <v>2013</v>
      </c>
      <c r="D501" s="12" t="s">
        <v>102</v>
      </c>
      <c r="E501" s="10">
        <v>41487</v>
      </c>
      <c r="F501" s="11">
        <f t="shared" si="21"/>
        <v>6</v>
      </c>
      <c r="G501" s="11" t="s">
        <v>42</v>
      </c>
      <c r="H501" s="11" t="s">
        <v>794</v>
      </c>
      <c r="I501" s="11" t="s">
        <v>23</v>
      </c>
      <c r="J501" s="11" t="s">
        <v>890</v>
      </c>
      <c r="K501" s="11" t="s">
        <v>850</v>
      </c>
      <c r="L501" s="11" t="s">
        <v>36</v>
      </c>
      <c r="M501" s="11" t="s">
        <v>37</v>
      </c>
      <c r="N501" s="11" t="s">
        <v>27</v>
      </c>
      <c r="O501" s="11" t="s">
        <v>51</v>
      </c>
      <c r="P501" s="11" t="s">
        <v>853</v>
      </c>
      <c r="Q501" s="13">
        <v>69.3</v>
      </c>
      <c r="R501" s="11">
        <v>9</v>
      </c>
      <c r="S501" s="16">
        <v>0</v>
      </c>
      <c r="T501" s="13">
        <v>22.869</v>
      </c>
      <c r="U501" s="1" t="str">
        <f t="shared" si="22"/>
        <v>Profit</v>
      </c>
      <c r="V501" s="1" t="str">
        <f t="shared" si="23"/>
        <v>Low</v>
      </c>
    </row>
    <row r="502" spans="1:22" x14ac:dyDescent="0.35">
      <c r="A502" s="11">
        <v>501</v>
      </c>
      <c r="B502" s="10">
        <v>41425</v>
      </c>
      <c r="C502" s="11">
        <v>2013</v>
      </c>
      <c r="D502" s="12" t="s">
        <v>86</v>
      </c>
      <c r="E502" s="10">
        <v>41430</v>
      </c>
      <c r="F502" s="11">
        <f t="shared" si="21"/>
        <v>5</v>
      </c>
      <c r="G502" s="11" t="s">
        <v>42</v>
      </c>
      <c r="H502" s="11" t="s">
        <v>854</v>
      </c>
      <c r="I502" s="11" t="s">
        <v>34</v>
      </c>
      <c r="J502" s="11" t="s">
        <v>890</v>
      </c>
      <c r="K502" s="11" t="s">
        <v>855</v>
      </c>
      <c r="L502" s="11" t="s">
        <v>264</v>
      </c>
      <c r="M502" s="11" t="s">
        <v>37</v>
      </c>
      <c r="N502" s="11" t="s">
        <v>38</v>
      </c>
      <c r="O502" s="11" t="s">
        <v>58</v>
      </c>
      <c r="P502" s="11" t="s">
        <v>856</v>
      </c>
      <c r="Q502" s="13">
        <v>22.62</v>
      </c>
      <c r="R502" s="11">
        <v>2</v>
      </c>
      <c r="S502" s="16">
        <v>0.7</v>
      </c>
      <c r="T502" s="13">
        <v>-15.08</v>
      </c>
      <c r="U502" s="1" t="str">
        <f t="shared" si="22"/>
        <v>Loss</v>
      </c>
      <c r="V502" s="1" t="str">
        <f t="shared" si="23"/>
        <v>Low</v>
      </c>
    </row>
    <row r="503" spans="1:22" x14ac:dyDescent="0.35">
      <c r="A503" s="11">
        <v>502</v>
      </c>
      <c r="B503" s="10">
        <v>41425</v>
      </c>
      <c r="C503" s="11">
        <v>2013</v>
      </c>
      <c r="D503" s="12" t="s">
        <v>86</v>
      </c>
      <c r="E503" s="10">
        <v>41430</v>
      </c>
      <c r="F503" s="11">
        <f t="shared" si="21"/>
        <v>5</v>
      </c>
      <c r="G503" s="11" t="s">
        <v>42</v>
      </c>
      <c r="H503" s="11" t="s">
        <v>854</v>
      </c>
      <c r="I503" s="11" t="s">
        <v>34</v>
      </c>
      <c r="J503" s="11" t="s">
        <v>890</v>
      </c>
      <c r="K503" s="11" t="s">
        <v>855</v>
      </c>
      <c r="L503" s="11" t="s">
        <v>264</v>
      </c>
      <c r="M503" s="11" t="s">
        <v>37</v>
      </c>
      <c r="N503" s="11" t="s">
        <v>38</v>
      </c>
      <c r="O503" s="11" t="s">
        <v>58</v>
      </c>
      <c r="P503" s="11" t="s">
        <v>857</v>
      </c>
      <c r="Q503" s="13">
        <v>14.952</v>
      </c>
      <c r="R503" s="11">
        <v>2</v>
      </c>
      <c r="S503" s="16">
        <v>0.7</v>
      </c>
      <c r="T503" s="13">
        <v>-11.961600000000001</v>
      </c>
      <c r="U503" s="1" t="str">
        <f t="shared" si="22"/>
        <v>Loss</v>
      </c>
      <c r="V503" s="1" t="str">
        <f t="shared" si="23"/>
        <v>Low</v>
      </c>
    </row>
    <row r="504" spans="1:22" x14ac:dyDescent="0.35">
      <c r="A504" s="11">
        <v>503</v>
      </c>
      <c r="B504" s="10">
        <v>41425</v>
      </c>
      <c r="C504" s="11">
        <v>2013</v>
      </c>
      <c r="D504" s="12" t="s">
        <v>86</v>
      </c>
      <c r="E504" s="10">
        <v>41430</v>
      </c>
      <c r="F504" s="11">
        <f t="shared" si="21"/>
        <v>5</v>
      </c>
      <c r="G504" s="11" t="s">
        <v>42</v>
      </c>
      <c r="H504" s="11" t="s">
        <v>854</v>
      </c>
      <c r="I504" s="11" t="s">
        <v>34</v>
      </c>
      <c r="J504" s="11" t="s">
        <v>890</v>
      </c>
      <c r="K504" s="11" t="s">
        <v>855</v>
      </c>
      <c r="L504" s="11" t="s">
        <v>264</v>
      </c>
      <c r="M504" s="11" t="s">
        <v>37</v>
      </c>
      <c r="N504" s="11" t="s">
        <v>27</v>
      </c>
      <c r="O504" s="11" t="s">
        <v>30</v>
      </c>
      <c r="P504" s="11" t="s">
        <v>858</v>
      </c>
      <c r="Q504" s="13">
        <v>801.56799999999998</v>
      </c>
      <c r="R504" s="11">
        <v>2</v>
      </c>
      <c r="S504" s="16">
        <v>0.2</v>
      </c>
      <c r="T504" s="13">
        <v>50.097999999999999</v>
      </c>
      <c r="U504" s="1" t="str">
        <f t="shared" si="22"/>
        <v>Profit</v>
      </c>
      <c r="V504" s="1" t="str">
        <f t="shared" si="23"/>
        <v>Medium</v>
      </c>
    </row>
    <row r="505" spans="1:22" x14ac:dyDescent="0.35">
      <c r="A505" s="11">
        <v>504</v>
      </c>
      <c r="B505" s="10">
        <v>41425</v>
      </c>
      <c r="C505" s="11">
        <v>2013</v>
      </c>
      <c r="D505" s="12" t="s">
        <v>86</v>
      </c>
      <c r="E505" s="10">
        <v>41430</v>
      </c>
      <c r="F505" s="11">
        <f t="shared" si="21"/>
        <v>5</v>
      </c>
      <c r="G505" s="11" t="s">
        <v>42</v>
      </c>
      <c r="H505" s="11" t="s">
        <v>854</v>
      </c>
      <c r="I505" s="11" t="s">
        <v>34</v>
      </c>
      <c r="J505" s="11" t="s">
        <v>890</v>
      </c>
      <c r="K505" s="11" t="s">
        <v>855</v>
      </c>
      <c r="L505" s="11" t="s">
        <v>264</v>
      </c>
      <c r="M505" s="11" t="s">
        <v>37</v>
      </c>
      <c r="N505" s="11" t="s">
        <v>38</v>
      </c>
      <c r="O505" s="11" t="s">
        <v>58</v>
      </c>
      <c r="P505" s="11" t="s">
        <v>859</v>
      </c>
      <c r="Q505" s="13">
        <v>2.3759999999999999</v>
      </c>
      <c r="R505" s="11">
        <v>3</v>
      </c>
      <c r="S505" s="16">
        <v>0.7</v>
      </c>
      <c r="T505" s="13">
        <v>-1.9008</v>
      </c>
      <c r="U505" s="1" t="str">
        <f t="shared" si="22"/>
        <v>Loss</v>
      </c>
      <c r="V505" s="1" t="str">
        <f t="shared" si="23"/>
        <v>Low</v>
      </c>
    </row>
    <row r="506" spans="1:22" x14ac:dyDescent="0.35">
      <c r="A506" s="11">
        <v>505</v>
      </c>
      <c r="B506" s="10">
        <v>41425</v>
      </c>
      <c r="C506" s="11">
        <v>2013</v>
      </c>
      <c r="D506" s="12" t="s">
        <v>86</v>
      </c>
      <c r="E506" s="10">
        <v>41430</v>
      </c>
      <c r="F506" s="11">
        <f t="shared" si="21"/>
        <v>5</v>
      </c>
      <c r="G506" s="11" t="s">
        <v>42</v>
      </c>
      <c r="H506" s="11" t="s">
        <v>854</v>
      </c>
      <c r="I506" s="11" t="s">
        <v>34</v>
      </c>
      <c r="J506" s="11" t="s">
        <v>890</v>
      </c>
      <c r="K506" s="11" t="s">
        <v>855</v>
      </c>
      <c r="L506" s="11" t="s">
        <v>264</v>
      </c>
      <c r="M506" s="11" t="s">
        <v>37</v>
      </c>
      <c r="N506" s="11" t="s">
        <v>38</v>
      </c>
      <c r="O506" s="11" t="s">
        <v>68</v>
      </c>
      <c r="P506" s="11" t="s">
        <v>860</v>
      </c>
      <c r="Q506" s="13">
        <v>32.792000000000002</v>
      </c>
      <c r="R506" s="11">
        <v>1</v>
      </c>
      <c r="S506" s="16">
        <v>0.2</v>
      </c>
      <c r="T506" s="13">
        <v>11.8871</v>
      </c>
      <c r="U506" s="1" t="str">
        <f t="shared" si="22"/>
        <v>Profit</v>
      </c>
      <c r="V506" s="1" t="str">
        <f t="shared" si="23"/>
        <v>Low</v>
      </c>
    </row>
    <row r="507" spans="1:22" x14ac:dyDescent="0.35">
      <c r="A507" s="11">
        <v>506</v>
      </c>
      <c r="B507" s="10">
        <v>41956</v>
      </c>
      <c r="C507" s="11">
        <v>2014</v>
      </c>
      <c r="D507" s="12" t="s">
        <v>20</v>
      </c>
      <c r="E507" s="10">
        <v>41959</v>
      </c>
      <c r="F507" s="11">
        <f t="shared" si="21"/>
        <v>3</v>
      </c>
      <c r="G507" s="11" t="s">
        <v>21</v>
      </c>
      <c r="H507" s="11" t="s">
        <v>790</v>
      </c>
      <c r="I507" s="11" t="s">
        <v>34</v>
      </c>
      <c r="J507" s="11" t="s">
        <v>890</v>
      </c>
      <c r="K507" s="11" t="s">
        <v>170</v>
      </c>
      <c r="L507" s="11" t="s">
        <v>171</v>
      </c>
      <c r="M507" s="11" t="s">
        <v>106</v>
      </c>
      <c r="N507" s="11" t="s">
        <v>38</v>
      </c>
      <c r="O507" s="11" t="s">
        <v>58</v>
      </c>
      <c r="P507" s="11" t="s">
        <v>308</v>
      </c>
      <c r="Q507" s="13">
        <v>15.92</v>
      </c>
      <c r="R507" s="11">
        <v>5</v>
      </c>
      <c r="S507" s="16">
        <v>0.2</v>
      </c>
      <c r="T507" s="13">
        <v>5.3730000000000002</v>
      </c>
      <c r="U507" s="1" t="str">
        <f t="shared" si="22"/>
        <v>Profit</v>
      </c>
      <c r="V507" s="1" t="str">
        <f t="shared" si="23"/>
        <v>Low</v>
      </c>
    </row>
    <row r="508" spans="1:22" x14ac:dyDescent="0.35">
      <c r="A508" s="11">
        <v>507</v>
      </c>
      <c r="B508" s="10">
        <v>40984</v>
      </c>
      <c r="C508" s="11">
        <v>2012</v>
      </c>
      <c r="D508" s="12" t="s">
        <v>147</v>
      </c>
      <c r="E508" s="10">
        <v>40990</v>
      </c>
      <c r="F508" s="11">
        <f t="shared" si="21"/>
        <v>6</v>
      </c>
      <c r="G508" s="11" t="s">
        <v>42</v>
      </c>
      <c r="H508" s="11" t="s">
        <v>861</v>
      </c>
      <c r="I508" s="11" t="s">
        <v>23</v>
      </c>
      <c r="J508" s="11" t="s">
        <v>890</v>
      </c>
      <c r="K508" s="11" t="s">
        <v>862</v>
      </c>
      <c r="L508" s="11" t="s">
        <v>650</v>
      </c>
      <c r="M508" s="11" t="s">
        <v>26</v>
      </c>
      <c r="N508" s="11" t="s">
        <v>38</v>
      </c>
      <c r="O508" s="11" t="s">
        <v>53</v>
      </c>
      <c r="P508" s="11" t="s">
        <v>863</v>
      </c>
      <c r="Q508" s="13">
        <v>2.74</v>
      </c>
      <c r="R508" s="11">
        <v>1</v>
      </c>
      <c r="S508" s="16">
        <v>0</v>
      </c>
      <c r="T508" s="13">
        <v>0.73980000000000001</v>
      </c>
      <c r="U508" s="1" t="str">
        <f t="shared" si="22"/>
        <v>Profit</v>
      </c>
      <c r="V508" s="1" t="str">
        <f t="shared" si="23"/>
        <v>Low</v>
      </c>
    </row>
    <row r="509" spans="1:22" x14ac:dyDescent="0.35">
      <c r="A509" s="11">
        <v>508</v>
      </c>
      <c r="B509" s="10">
        <v>40984</v>
      </c>
      <c r="C509" s="11">
        <v>2012</v>
      </c>
      <c r="D509" s="12" t="s">
        <v>147</v>
      </c>
      <c r="E509" s="10">
        <v>40990</v>
      </c>
      <c r="F509" s="11">
        <f t="shared" si="21"/>
        <v>6</v>
      </c>
      <c r="G509" s="11" t="s">
        <v>42</v>
      </c>
      <c r="H509" s="11" t="s">
        <v>861</v>
      </c>
      <c r="I509" s="11" t="s">
        <v>23</v>
      </c>
      <c r="J509" s="11" t="s">
        <v>890</v>
      </c>
      <c r="K509" s="11" t="s">
        <v>862</v>
      </c>
      <c r="L509" s="11" t="s">
        <v>650</v>
      </c>
      <c r="M509" s="11" t="s">
        <v>26</v>
      </c>
      <c r="N509" s="11" t="s">
        <v>38</v>
      </c>
      <c r="O509" s="11" t="s">
        <v>53</v>
      </c>
      <c r="P509" s="11" t="s">
        <v>864</v>
      </c>
      <c r="Q509" s="13">
        <v>8.34</v>
      </c>
      <c r="R509" s="11">
        <v>3</v>
      </c>
      <c r="S509" s="16">
        <v>0</v>
      </c>
      <c r="T509" s="13">
        <v>2.1684000000000001</v>
      </c>
      <c r="U509" s="1" t="str">
        <f t="shared" si="22"/>
        <v>Profit</v>
      </c>
      <c r="V509" s="1" t="str">
        <f t="shared" si="23"/>
        <v>Low</v>
      </c>
    </row>
    <row r="510" spans="1:22" x14ac:dyDescent="0.35">
      <c r="A510" s="11">
        <v>509</v>
      </c>
      <c r="B510" s="10">
        <v>40984</v>
      </c>
      <c r="C510" s="11">
        <v>2012</v>
      </c>
      <c r="D510" s="12" t="s">
        <v>147</v>
      </c>
      <c r="E510" s="10">
        <v>40990</v>
      </c>
      <c r="F510" s="11">
        <f t="shared" si="21"/>
        <v>6</v>
      </c>
      <c r="G510" s="11" t="s">
        <v>42</v>
      </c>
      <c r="H510" s="11" t="s">
        <v>861</v>
      </c>
      <c r="I510" s="11" t="s">
        <v>23</v>
      </c>
      <c r="J510" s="11" t="s">
        <v>890</v>
      </c>
      <c r="K510" s="11" t="s">
        <v>862</v>
      </c>
      <c r="L510" s="11" t="s">
        <v>650</v>
      </c>
      <c r="M510" s="11" t="s">
        <v>26</v>
      </c>
      <c r="N510" s="11" t="s">
        <v>38</v>
      </c>
      <c r="O510" s="11" t="s">
        <v>48</v>
      </c>
      <c r="P510" s="11" t="s">
        <v>865</v>
      </c>
      <c r="Q510" s="13">
        <v>46.74</v>
      </c>
      <c r="R510" s="11">
        <v>3</v>
      </c>
      <c r="S510" s="16">
        <v>0</v>
      </c>
      <c r="T510" s="13">
        <v>11.685</v>
      </c>
      <c r="U510" s="1" t="str">
        <f t="shared" si="22"/>
        <v>Profit</v>
      </c>
      <c r="V510" s="1" t="str">
        <f t="shared" si="23"/>
        <v>Low</v>
      </c>
    </row>
    <row r="511" spans="1:22" x14ac:dyDescent="0.35">
      <c r="A511" s="11">
        <v>510</v>
      </c>
      <c r="B511" s="10">
        <v>40984</v>
      </c>
      <c r="C511" s="11">
        <v>2012</v>
      </c>
      <c r="D511" s="12" t="s">
        <v>147</v>
      </c>
      <c r="E511" s="10">
        <v>40990</v>
      </c>
      <c r="F511" s="11">
        <f t="shared" si="21"/>
        <v>6</v>
      </c>
      <c r="G511" s="11" t="s">
        <v>42</v>
      </c>
      <c r="H511" s="11" t="s">
        <v>861</v>
      </c>
      <c r="I511" s="11" t="s">
        <v>23</v>
      </c>
      <c r="J511" s="11" t="s">
        <v>890</v>
      </c>
      <c r="K511" s="11" t="s">
        <v>862</v>
      </c>
      <c r="L511" s="11" t="s">
        <v>650</v>
      </c>
      <c r="M511" s="11" t="s">
        <v>26</v>
      </c>
      <c r="N511" s="11" t="s">
        <v>38</v>
      </c>
      <c r="O511" s="11" t="s">
        <v>58</v>
      </c>
      <c r="P511" s="11" t="s">
        <v>866</v>
      </c>
      <c r="Q511" s="13">
        <v>6354.95</v>
      </c>
      <c r="R511" s="11">
        <v>5</v>
      </c>
      <c r="S511" s="16">
        <v>0</v>
      </c>
      <c r="T511" s="13">
        <v>3177.4749999999999</v>
      </c>
      <c r="U511" s="1" t="str">
        <f t="shared" si="22"/>
        <v>Profit</v>
      </c>
      <c r="V511" s="1" t="str">
        <f t="shared" si="23"/>
        <v>High</v>
      </c>
    </row>
    <row r="512" spans="1:22" x14ac:dyDescent="0.35">
      <c r="A512" s="11">
        <v>511</v>
      </c>
      <c r="B512" s="10">
        <v>41970</v>
      </c>
      <c r="C512" s="11">
        <v>2014</v>
      </c>
      <c r="D512" s="12" t="s">
        <v>20</v>
      </c>
      <c r="E512" s="10">
        <v>41971</v>
      </c>
      <c r="F512" s="11">
        <f t="shared" si="21"/>
        <v>1</v>
      </c>
      <c r="G512" s="11" t="s">
        <v>128</v>
      </c>
      <c r="H512" s="11" t="s">
        <v>867</v>
      </c>
      <c r="I512" s="11" t="s">
        <v>23</v>
      </c>
      <c r="J512" s="11" t="s">
        <v>890</v>
      </c>
      <c r="K512" s="11" t="s">
        <v>868</v>
      </c>
      <c r="L512" s="11" t="s">
        <v>333</v>
      </c>
      <c r="M512" s="11" t="s">
        <v>79</v>
      </c>
      <c r="N512" s="11" t="s">
        <v>27</v>
      </c>
      <c r="O512" s="11" t="s">
        <v>51</v>
      </c>
      <c r="P512" s="11" t="s">
        <v>869</v>
      </c>
      <c r="Q512" s="13">
        <v>126.3</v>
      </c>
      <c r="R512" s="11">
        <v>3</v>
      </c>
      <c r="S512" s="16">
        <v>0</v>
      </c>
      <c r="T512" s="13">
        <v>40.415999999999997</v>
      </c>
      <c r="U512" s="1" t="str">
        <f t="shared" si="22"/>
        <v>Profit</v>
      </c>
      <c r="V512" s="1" t="str">
        <f t="shared" si="23"/>
        <v>Low</v>
      </c>
    </row>
    <row r="513" spans="1:22" x14ac:dyDescent="0.35">
      <c r="A513" s="11">
        <v>512</v>
      </c>
      <c r="B513" s="10">
        <v>41970</v>
      </c>
      <c r="C513" s="11">
        <v>2014</v>
      </c>
      <c r="D513" s="12" t="s">
        <v>20</v>
      </c>
      <c r="E513" s="10">
        <v>41971</v>
      </c>
      <c r="F513" s="11">
        <f t="shared" si="21"/>
        <v>1</v>
      </c>
      <c r="G513" s="11" t="s">
        <v>128</v>
      </c>
      <c r="H513" s="11" t="s">
        <v>867</v>
      </c>
      <c r="I513" s="11" t="s">
        <v>23</v>
      </c>
      <c r="J513" s="11" t="s">
        <v>890</v>
      </c>
      <c r="K513" s="11" t="s">
        <v>868</v>
      </c>
      <c r="L513" s="11" t="s">
        <v>333</v>
      </c>
      <c r="M513" s="11" t="s">
        <v>79</v>
      </c>
      <c r="N513" s="11" t="s">
        <v>55</v>
      </c>
      <c r="O513" s="11" t="s">
        <v>114</v>
      </c>
      <c r="P513" s="11" t="s">
        <v>870</v>
      </c>
      <c r="Q513" s="13">
        <v>38.04</v>
      </c>
      <c r="R513" s="11">
        <v>2</v>
      </c>
      <c r="S513" s="16">
        <v>0</v>
      </c>
      <c r="T513" s="13">
        <v>12.172800000000001</v>
      </c>
      <c r="U513" s="1" t="str">
        <f t="shared" si="22"/>
        <v>Profit</v>
      </c>
      <c r="V513" s="1" t="str">
        <f t="shared" si="23"/>
        <v>Low</v>
      </c>
    </row>
    <row r="514" spans="1:22" x14ac:dyDescent="0.35">
      <c r="A514" s="11">
        <v>513</v>
      </c>
      <c r="B514" s="10">
        <v>41568</v>
      </c>
      <c r="C514" s="11">
        <v>2013</v>
      </c>
      <c r="D514" s="12" t="s">
        <v>41</v>
      </c>
      <c r="E514" s="10">
        <v>41571</v>
      </c>
      <c r="F514" s="11">
        <f t="shared" ref="F514:F529" si="24">_xlfn.DAYS(E514,B514)</f>
        <v>3</v>
      </c>
      <c r="G514" s="11" t="s">
        <v>128</v>
      </c>
      <c r="H514" s="11" t="s">
        <v>718</v>
      </c>
      <c r="I514" s="11" t="s">
        <v>23</v>
      </c>
      <c r="J514" s="11" t="s">
        <v>890</v>
      </c>
      <c r="K514" s="11" t="s">
        <v>338</v>
      </c>
      <c r="L514" s="11" t="s">
        <v>285</v>
      </c>
      <c r="M514" s="11" t="s">
        <v>106</v>
      </c>
      <c r="N514" s="11" t="s">
        <v>38</v>
      </c>
      <c r="O514" s="11" t="s">
        <v>53</v>
      </c>
      <c r="P514" s="11" t="s">
        <v>221</v>
      </c>
      <c r="Q514" s="13">
        <v>7.1520000000000001</v>
      </c>
      <c r="R514" s="11">
        <v>3</v>
      </c>
      <c r="S514" s="16">
        <v>0.2</v>
      </c>
      <c r="T514" s="13">
        <v>0.71519999999999995</v>
      </c>
      <c r="U514" s="1" t="str">
        <f t="shared" si="22"/>
        <v>Profit</v>
      </c>
      <c r="V514" s="1" t="str">
        <f t="shared" si="23"/>
        <v>Low</v>
      </c>
    </row>
    <row r="515" spans="1:22" x14ac:dyDescent="0.35">
      <c r="A515" s="11">
        <v>514</v>
      </c>
      <c r="B515" s="10">
        <v>41995</v>
      </c>
      <c r="C515" s="11">
        <v>2014</v>
      </c>
      <c r="D515" s="12" t="s">
        <v>70</v>
      </c>
      <c r="E515" s="10">
        <v>41999</v>
      </c>
      <c r="F515" s="11">
        <f t="shared" si="24"/>
        <v>4</v>
      </c>
      <c r="G515" s="11" t="s">
        <v>42</v>
      </c>
      <c r="H515" s="11" t="s">
        <v>871</v>
      </c>
      <c r="I515" s="11" t="s">
        <v>23</v>
      </c>
      <c r="J515" s="11" t="s">
        <v>890</v>
      </c>
      <c r="K515" s="11" t="s">
        <v>35</v>
      </c>
      <c r="L515" s="11" t="s">
        <v>36</v>
      </c>
      <c r="M515" s="11" t="s">
        <v>37</v>
      </c>
      <c r="N515" s="11" t="s">
        <v>38</v>
      </c>
      <c r="O515" s="11" t="s">
        <v>53</v>
      </c>
      <c r="P515" s="11" t="s">
        <v>872</v>
      </c>
      <c r="Q515" s="13">
        <v>6.63</v>
      </c>
      <c r="R515" s="11">
        <v>3</v>
      </c>
      <c r="S515" s="16">
        <v>0</v>
      </c>
      <c r="T515" s="13">
        <v>1.7901</v>
      </c>
      <c r="U515" s="1" t="str">
        <f t="shared" ref="U515:U529" si="25">IF(T515&gt;0,"Profit","Loss")</f>
        <v>Profit</v>
      </c>
      <c r="V515" s="1" t="str">
        <f t="shared" ref="V515:V529" si="26">IF(Q515&gt;=1000,"High",IF(Q515&gt;=500,"Medium","Low"))</f>
        <v>Low</v>
      </c>
    </row>
    <row r="516" spans="1:22" x14ac:dyDescent="0.35">
      <c r="A516" s="11">
        <v>515</v>
      </c>
      <c r="B516" s="10">
        <v>41995</v>
      </c>
      <c r="C516" s="11">
        <v>2014</v>
      </c>
      <c r="D516" s="12" t="s">
        <v>70</v>
      </c>
      <c r="E516" s="10">
        <v>41999</v>
      </c>
      <c r="F516" s="11">
        <f t="shared" si="24"/>
        <v>4</v>
      </c>
      <c r="G516" s="11" t="s">
        <v>42</v>
      </c>
      <c r="H516" s="11" t="s">
        <v>871</v>
      </c>
      <c r="I516" s="11" t="s">
        <v>23</v>
      </c>
      <c r="J516" s="11" t="s">
        <v>890</v>
      </c>
      <c r="K516" s="11" t="s">
        <v>35</v>
      </c>
      <c r="L516" s="11" t="s">
        <v>36</v>
      </c>
      <c r="M516" s="11" t="s">
        <v>37</v>
      </c>
      <c r="N516" s="11" t="s">
        <v>38</v>
      </c>
      <c r="O516" s="11" t="s">
        <v>53</v>
      </c>
      <c r="P516" s="11" t="s">
        <v>873</v>
      </c>
      <c r="Q516" s="13">
        <v>5.88</v>
      </c>
      <c r="R516" s="11">
        <v>2</v>
      </c>
      <c r="S516" s="16">
        <v>0</v>
      </c>
      <c r="T516" s="13">
        <v>1.7052</v>
      </c>
      <c r="U516" s="1" t="str">
        <f t="shared" si="25"/>
        <v>Profit</v>
      </c>
      <c r="V516" s="1" t="str">
        <f t="shared" si="26"/>
        <v>Low</v>
      </c>
    </row>
    <row r="517" spans="1:22" x14ac:dyDescent="0.35">
      <c r="A517" s="11">
        <v>516</v>
      </c>
      <c r="B517" s="10">
        <v>41662</v>
      </c>
      <c r="C517" s="11">
        <v>2014</v>
      </c>
      <c r="D517" s="12" t="s">
        <v>111</v>
      </c>
      <c r="E517" s="10">
        <v>41667</v>
      </c>
      <c r="F517" s="11">
        <f t="shared" si="24"/>
        <v>5</v>
      </c>
      <c r="G517" s="11" t="s">
        <v>42</v>
      </c>
      <c r="H517" s="11" t="s">
        <v>301</v>
      </c>
      <c r="I517" s="11" t="s">
        <v>76</v>
      </c>
      <c r="J517" s="11" t="s">
        <v>890</v>
      </c>
      <c r="K517" s="11" t="s">
        <v>874</v>
      </c>
      <c r="L517" s="11" t="s">
        <v>875</v>
      </c>
      <c r="M517" s="11" t="s">
        <v>37</v>
      </c>
      <c r="N517" s="11" t="s">
        <v>55</v>
      </c>
      <c r="O517" s="11" t="s">
        <v>624</v>
      </c>
      <c r="P517" s="11" t="s">
        <v>876</v>
      </c>
      <c r="Q517" s="13">
        <v>2999.95</v>
      </c>
      <c r="R517" s="11">
        <v>5</v>
      </c>
      <c r="S517" s="16">
        <v>0</v>
      </c>
      <c r="T517" s="13">
        <v>1379.9770000000001</v>
      </c>
      <c r="U517" s="1" t="str">
        <f t="shared" si="25"/>
        <v>Profit</v>
      </c>
      <c r="V517" s="1" t="str">
        <f t="shared" si="26"/>
        <v>High</v>
      </c>
    </row>
    <row r="518" spans="1:22" x14ac:dyDescent="0.35">
      <c r="A518" s="11">
        <v>517</v>
      </c>
      <c r="B518" s="10">
        <v>41662</v>
      </c>
      <c r="C518" s="11">
        <v>2014</v>
      </c>
      <c r="D518" s="12" t="s">
        <v>111</v>
      </c>
      <c r="E518" s="10">
        <v>41667</v>
      </c>
      <c r="F518" s="11">
        <f t="shared" si="24"/>
        <v>5</v>
      </c>
      <c r="G518" s="11" t="s">
        <v>42</v>
      </c>
      <c r="H518" s="11" t="s">
        <v>301</v>
      </c>
      <c r="I518" s="11" t="s">
        <v>76</v>
      </c>
      <c r="J518" s="11" t="s">
        <v>890</v>
      </c>
      <c r="K518" s="11" t="s">
        <v>874</v>
      </c>
      <c r="L518" s="11" t="s">
        <v>875</v>
      </c>
      <c r="M518" s="11" t="s">
        <v>37</v>
      </c>
      <c r="N518" s="11" t="s">
        <v>38</v>
      </c>
      <c r="O518" s="11" t="s">
        <v>48</v>
      </c>
      <c r="P518" s="11" t="s">
        <v>877</v>
      </c>
      <c r="Q518" s="13">
        <v>51.45</v>
      </c>
      <c r="R518" s="11">
        <v>3</v>
      </c>
      <c r="S518" s="16">
        <v>0</v>
      </c>
      <c r="T518" s="13">
        <v>13.891500000000001</v>
      </c>
      <c r="U518" s="1" t="str">
        <f t="shared" si="25"/>
        <v>Profit</v>
      </c>
      <c r="V518" s="1" t="str">
        <f t="shared" si="26"/>
        <v>Low</v>
      </c>
    </row>
    <row r="519" spans="1:22" x14ac:dyDescent="0.35">
      <c r="A519" s="11">
        <v>518</v>
      </c>
      <c r="B519" s="10">
        <v>41662</v>
      </c>
      <c r="C519" s="11">
        <v>2014</v>
      </c>
      <c r="D519" s="12" t="s">
        <v>111</v>
      </c>
      <c r="E519" s="10">
        <v>41667</v>
      </c>
      <c r="F519" s="11">
        <f t="shared" si="24"/>
        <v>5</v>
      </c>
      <c r="G519" s="11" t="s">
        <v>42</v>
      </c>
      <c r="H519" s="11" t="s">
        <v>301</v>
      </c>
      <c r="I519" s="11" t="s">
        <v>76</v>
      </c>
      <c r="J519" s="11" t="s">
        <v>890</v>
      </c>
      <c r="K519" s="11" t="s">
        <v>874</v>
      </c>
      <c r="L519" s="11" t="s">
        <v>875</v>
      </c>
      <c r="M519" s="11" t="s">
        <v>37</v>
      </c>
      <c r="N519" s="11" t="s">
        <v>38</v>
      </c>
      <c r="O519" s="11" t="s">
        <v>68</v>
      </c>
      <c r="P519" s="11" t="s">
        <v>878</v>
      </c>
      <c r="Q519" s="13">
        <v>11.96</v>
      </c>
      <c r="R519" s="11">
        <v>2</v>
      </c>
      <c r="S519" s="16">
        <v>0</v>
      </c>
      <c r="T519" s="13">
        <v>5.3819999999999997</v>
      </c>
      <c r="U519" s="1" t="str">
        <f t="shared" si="25"/>
        <v>Profit</v>
      </c>
      <c r="V519" s="1" t="str">
        <f t="shared" si="26"/>
        <v>Low</v>
      </c>
    </row>
    <row r="520" spans="1:22" x14ac:dyDescent="0.35">
      <c r="A520" s="11">
        <v>519</v>
      </c>
      <c r="B520" s="10">
        <v>41662</v>
      </c>
      <c r="C520" s="11">
        <v>2014</v>
      </c>
      <c r="D520" s="12" t="s">
        <v>111</v>
      </c>
      <c r="E520" s="10">
        <v>41667</v>
      </c>
      <c r="F520" s="11">
        <f t="shared" si="24"/>
        <v>5</v>
      </c>
      <c r="G520" s="11" t="s">
        <v>42</v>
      </c>
      <c r="H520" s="11" t="s">
        <v>301</v>
      </c>
      <c r="I520" s="11" t="s">
        <v>76</v>
      </c>
      <c r="J520" s="11" t="s">
        <v>890</v>
      </c>
      <c r="K520" s="11" t="s">
        <v>874</v>
      </c>
      <c r="L520" s="11" t="s">
        <v>875</v>
      </c>
      <c r="M520" s="11" t="s">
        <v>37</v>
      </c>
      <c r="N520" s="11" t="s">
        <v>38</v>
      </c>
      <c r="O520" s="11" t="s">
        <v>48</v>
      </c>
      <c r="P520" s="11" t="s">
        <v>879</v>
      </c>
      <c r="Q520" s="13">
        <v>1126.02</v>
      </c>
      <c r="R520" s="11">
        <v>3</v>
      </c>
      <c r="S520" s="16">
        <v>0</v>
      </c>
      <c r="T520" s="13">
        <v>56.301000000000002</v>
      </c>
      <c r="U520" s="1" t="str">
        <f t="shared" si="25"/>
        <v>Profit</v>
      </c>
      <c r="V520" s="1" t="str">
        <f t="shared" si="26"/>
        <v>High</v>
      </c>
    </row>
    <row r="521" spans="1:22" x14ac:dyDescent="0.35">
      <c r="A521" s="11">
        <v>520</v>
      </c>
      <c r="B521" s="10">
        <v>40990</v>
      </c>
      <c r="C521" s="11">
        <v>2012</v>
      </c>
      <c r="D521" s="12" t="s">
        <v>147</v>
      </c>
      <c r="E521" s="10">
        <v>40994</v>
      </c>
      <c r="F521" s="11">
        <f t="shared" si="24"/>
        <v>4</v>
      </c>
      <c r="G521" s="11" t="s">
        <v>42</v>
      </c>
      <c r="H521" s="11" t="s">
        <v>880</v>
      </c>
      <c r="I521" s="11" t="s">
        <v>23</v>
      </c>
      <c r="J521" s="11" t="s">
        <v>890</v>
      </c>
      <c r="K521" s="11" t="s">
        <v>126</v>
      </c>
      <c r="L521" s="11" t="s">
        <v>78</v>
      </c>
      <c r="M521" s="11" t="s">
        <v>79</v>
      </c>
      <c r="N521" s="11" t="s">
        <v>55</v>
      </c>
      <c r="O521" s="11" t="s">
        <v>114</v>
      </c>
      <c r="P521" s="11" t="s">
        <v>151</v>
      </c>
      <c r="Q521" s="13">
        <v>18.391999999999999</v>
      </c>
      <c r="R521" s="11">
        <v>1</v>
      </c>
      <c r="S521" s="16">
        <v>0.2</v>
      </c>
      <c r="T521" s="13">
        <v>5.2877000000000001</v>
      </c>
      <c r="U521" s="1" t="str">
        <f t="shared" si="25"/>
        <v>Profit</v>
      </c>
      <c r="V521" s="1" t="str">
        <f t="shared" si="26"/>
        <v>Low</v>
      </c>
    </row>
    <row r="522" spans="1:22" x14ac:dyDescent="0.35">
      <c r="A522" s="11">
        <v>521</v>
      </c>
      <c r="B522" s="10">
        <v>40990</v>
      </c>
      <c r="C522" s="11">
        <v>2012</v>
      </c>
      <c r="D522" s="12" t="s">
        <v>147</v>
      </c>
      <c r="E522" s="10">
        <v>40994</v>
      </c>
      <c r="F522" s="11">
        <f t="shared" si="24"/>
        <v>4</v>
      </c>
      <c r="G522" s="11" t="s">
        <v>42</v>
      </c>
      <c r="H522" s="11" t="s">
        <v>880</v>
      </c>
      <c r="I522" s="11" t="s">
        <v>23</v>
      </c>
      <c r="J522" s="11" t="s">
        <v>890</v>
      </c>
      <c r="K522" s="11" t="s">
        <v>126</v>
      </c>
      <c r="L522" s="11" t="s">
        <v>78</v>
      </c>
      <c r="M522" s="11" t="s">
        <v>79</v>
      </c>
      <c r="N522" s="11" t="s">
        <v>38</v>
      </c>
      <c r="O522" s="11" t="s">
        <v>48</v>
      </c>
      <c r="P522" s="11" t="s">
        <v>881</v>
      </c>
      <c r="Q522" s="13">
        <v>129.56800000000001</v>
      </c>
      <c r="R522" s="11">
        <v>2</v>
      </c>
      <c r="S522" s="16">
        <v>0.2</v>
      </c>
      <c r="T522" s="13">
        <v>-25.913599999999999</v>
      </c>
      <c r="U522" s="1" t="str">
        <f t="shared" si="25"/>
        <v>Loss</v>
      </c>
      <c r="V522" s="1" t="str">
        <f t="shared" si="26"/>
        <v>Low</v>
      </c>
    </row>
    <row r="523" spans="1:22" x14ac:dyDescent="0.35">
      <c r="A523" s="11">
        <v>522</v>
      </c>
      <c r="B523" s="10">
        <v>40990</v>
      </c>
      <c r="C523" s="11">
        <v>2012</v>
      </c>
      <c r="D523" s="12" t="s">
        <v>147</v>
      </c>
      <c r="E523" s="10">
        <v>40994</v>
      </c>
      <c r="F523" s="11">
        <f t="shared" si="24"/>
        <v>4</v>
      </c>
      <c r="G523" s="11" t="s">
        <v>42</v>
      </c>
      <c r="H523" s="11" t="s">
        <v>880</v>
      </c>
      <c r="I523" s="11" t="s">
        <v>23</v>
      </c>
      <c r="J523" s="11" t="s">
        <v>890</v>
      </c>
      <c r="K523" s="11" t="s">
        <v>126</v>
      </c>
      <c r="L523" s="11" t="s">
        <v>78</v>
      </c>
      <c r="M523" s="11" t="s">
        <v>79</v>
      </c>
      <c r="N523" s="11" t="s">
        <v>38</v>
      </c>
      <c r="O523" s="11" t="s">
        <v>58</v>
      </c>
      <c r="P523" s="11" t="s">
        <v>882</v>
      </c>
      <c r="Q523" s="13">
        <v>14.112</v>
      </c>
      <c r="R523" s="11">
        <v>9</v>
      </c>
      <c r="S523" s="16">
        <v>0.8</v>
      </c>
      <c r="T523" s="13">
        <v>-21.167999999999999</v>
      </c>
      <c r="U523" s="1" t="str">
        <f t="shared" si="25"/>
        <v>Loss</v>
      </c>
      <c r="V523" s="1" t="str">
        <f t="shared" si="26"/>
        <v>Low</v>
      </c>
    </row>
    <row r="524" spans="1:22" x14ac:dyDescent="0.35">
      <c r="A524" s="11">
        <v>523</v>
      </c>
      <c r="B524" s="10">
        <v>41663</v>
      </c>
      <c r="C524" s="11">
        <v>2014</v>
      </c>
      <c r="D524" s="12" t="s">
        <v>111</v>
      </c>
      <c r="E524" s="10">
        <v>41665</v>
      </c>
      <c r="F524" s="11">
        <f t="shared" si="24"/>
        <v>2</v>
      </c>
      <c r="G524" s="11" t="s">
        <v>128</v>
      </c>
      <c r="H524" s="11" t="s">
        <v>883</v>
      </c>
      <c r="I524" s="11" t="s">
        <v>34</v>
      </c>
      <c r="J524" s="11" t="s">
        <v>890</v>
      </c>
      <c r="K524" s="11" t="s">
        <v>469</v>
      </c>
      <c r="L524" s="11" t="s">
        <v>155</v>
      </c>
      <c r="M524" s="11" t="s">
        <v>79</v>
      </c>
      <c r="N524" s="11" t="s">
        <v>27</v>
      </c>
      <c r="O524" s="11" t="s">
        <v>46</v>
      </c>
      <c r="P524" s="11" t="s">
        <v>845</v>
      </c>
      <c r="Q524" s="13">
        <v>210.98</v>
      </c>
      <c r="R524" s="11">
        <v>2</v>
      </c>
      <c r="S524" s="16">
        <v>0</v>
      </c>
      <c r="T524" s="13">
        <v>21.097999999999999</v>
      </c>
      <c r="U524" s="1" t="str">
        <f t="shared" si="25"/>
        <v>Profit</v>
      </c>
      <c r="V524" s="1" t="str">
        <f t="shared" si="26"/>
        <v>Low</v>
      </c>
    </row>
    <row r="525" spans="1:22" x14ac:dyDescent="0.35">
      <c r="A525" s="11">
        <v>524</v>
      </c>
      <c r="B525" s="10">
        <v>41416</v>
      </c>
      <c r="C525" s="11">
        <v>2013</v>
      </c>
      <c r="D525" s="12" t="s">
        <v>86</v>
      </c>
      <c r="E525" s="10">
        <v>41418</v>
      </c>
      <c r="F525" s="11">
        <f t="shared" si="24"/>
        <v>2</v>
      </c>
      <c r="G525" s="11" t="s">
        <v>128</v>
      </c>
      <c r="H525" s="11" t="s">
        <v>497</v>
      </c>
      <c r="I525" s="11" t="s">
        <v>23</v>
      </c>
      <c r="J525" s="11" t="s">
        <v>890</v>
      </c>
      <c r="K525" s="11" t="s">
        <v>35</v>
      </c>
      <c r="L525" s="11" t="s">
        <v>36</v>
      </c>
      <c r="M525" s="11" t="s">
        <v>37</v>
      </c>
      <c r="N525" s="11" t="s">
        <v>55</v>
      </c>
      <c r="O525" s="11" t="s">
        <v>56</v>
      </c>
      <c r="P525" s="11" t="s">
        <v>884</v>
      </c>
      <c r="Q525" s="13">
        <v>55.176000000000002</v>
      </c>
      <c r="R525" s="11">
        <v>3</v>
      </c>
      <c r="S525" s="16">
        <v>0.2</v>
      </c>
      <c r="T525" s="13">
        <v>-12.4146</v>
      </c>
      <c r="U525" s="1" t="str">
        <f t="shared" si="25"/>
        <v>Loss</v>
      </c>
      <c r="V525" s="1" t="str">
        <f t="shared" si="26"/>
        <v>Low</v>
      </c>
    </row>
    <row r="526" spans="1:22" x14ac:dyDescent="0.35">
      <c r="A526" s="11">
        <v>525</v>
      </c>
      <c r="B526" s="10">
        <v>41416</v>
      </c>
      <c r="C526" s="11">
        <v>2013</v>
      </c>
      <c r="D526" s="12" t="s">
        <v>86</v>
      </c>
      <c r="E526" s="10">
        <v>41418</v>
      </c>
      <c r="F526" s="11">
        <f t="shared" si="24"/>
        <v>2</v>
      </c>
      <c r="G526" s="11" t="s">
        <v>128</v>
      </c>
      <c r="H526" s="11" t="s">
        <v>497</v>
      </c>
      <c r="I526" s="11" t="s">
        <v>23</v>
      </c>
      <c r="J526" s="11" t="s">
        <v>890</v>
      </c>
      <c r="K526" s="11" t="s">
        <v>35</v>
      </c>
      <c r="L526" s="11" t="s">
        <v>36</v>
      </c>
      <c r="M526" s="11" t="s">
        <v>37</v>
      </c>
      <c r="N526" s="11" t="s">
        <v>55</v>
      </c>
      <c r="O526" s="11" t="s">
        <v>114</v>
      </c>
      <c r="P526" s="11" t="s">
        <v>885</v>
      </c>
      <c r="Q526" s="13">
        <v>66.260000000000005</v>
      </c>
      <c r="R526" s="11">
        <v>2</v>
      </c>
      <c r="S526" s="16">
        <v>0</v>
      </c>
      <c r="T526" s="13">
        <v>27.166599999999999</v>
      </c>
      <c r="U526" s="1" t="str">
        <f t="shared" si="25"/>
        <v>Profit</v>
      </c>
      <c r="V526" s="1" t="str">
        <f t="shared" si="26"/>
        <v>Low</v>
      </c>
    </row>
    <row r="527" spans="1:22" x14ac:dyDescent="0.35">
      <c r="A527" s="11">
        <v>526</v>
      </c>
      <c r="B527" s="10">
        <v>41269</v>
      </c>
      <c r="C527" s="11">
        <v>2012</v>
      </c>
      <c r="D527" s="12" t="s">
        <v>70</v>
      </c>
      <c r="E527" s="10">
        <v>41276</v>
      </c>
      <c r="F527" s="11">
        <f t="shared" si="24"/>
        <v>7</v>
      </c>
      <c r="G527" s="11" t="s">
        <v>42</v>
      </c>
      <c r="H527" s="11" t="s">
        <v>886</v>
      </c>
      <c r="I527" s="11" t="s">
        <v>23</v>
      </c>
      <c r="J527" s="11" t="s">
        <v>890</v>
      </c>
      <c r="K527" s="11" t="s">
        <v>746</v>
      </c>
      <c r="L527" s="11" t="s">
        <v>638</v>
      </c>
      <c r="M527" s="11" t="s">
        <v>106</v>
      </c>
      <c r="N527" s="11" t="s">
        <v>38</v>
      </c>
      <c r="O527" s="11" t="s">
        <v>172</v>
      </c>
      <c r="P527" s="11" t="s">
        <v>127</v>
      </c>
      <c r="Q527" s="13">
        <v>22.2</v>
      </c>
      <c r="R527" s="11">
        <v>5</v>
      </c>
      <c r="S527" s="16">
        <v>0</v>
      </c>
      <c r="T527" s="13">
        <v>10.433999999999999</v>
      </c>
      <c r="U527" s="1" t="str">
        <f t="shared" si="25"/>
        <v>Profit</v>
      </c>
      <c r="V527" s="1" t="str">
        <f t="shared" si="26"/>
        <v>Low</v>
      </c>
    </row>
    <row r="528" spans="1:22" x14ac:dyDescent="0.35">
      <c r="A528" s="11">
        <v>527</v>
      </c>
      <c r="B528" s="10">
        <v>41934</v>
      </c>
      <c r="C528" s="11">
        <v>2014</v>
      </c>
      <c r="D528" s="12" t="s">
        <v>41</v>
      </c>
      <c r="E528" s="10">
        <v>41939</v>
      </c>
      <c r="F528" s="11">
        <f t="shared" si="24"/>
        <v>5</v>
      </c>
      <c r="G528" s="11" t="s">
        <v>42</v>
      </c>
      <c r="H528" s="11" t="s">
        <v>887</v>
      </c>
      <c r="I528" s="11" t="s">
        <v>76</v>
      </c>
      <c r="J528" s="11" t="s">
        <v>890</v>
      </c>
      <c r="K528" s="11" t="s">
        <v>888</v>
      </c>
      <c r="L528" s="11" t="s">
        <v>45</v>
      </c>
      <c r="M528" s="11" t="s">
        <v>26</v>
      </c>
      <c r="N528" s="11" t="s">
        <v>27</v>
      </c>
      <c r="O528" s="11" t="s">
        <v>30</v>
      </c>
      <c r="P528" s="11" t="s">
        <v>889</v>
      </c>
      <c r="Q528" s="13">
        <v>683.952</v>
      </c>
      <c r="R528" s="11">
        <v>3</v>
      </c>
      <c r="S528" s="16">
        <v>0.2</v>
      </c>
      <c r="T528" s="13">
        <v>42.747</v>
      </c>
      <c r="U528" s="1" t="str">
        <f t="shared" si="25"/>
        <v>Profit</v>
      </c>
      <c r="V528" s="1" t="str">
        <f t="shared" si="26"/>
        <v>Medium</v>
      </c>
    </row>
    <row r="529" spans="1:22" x14ac:dyDescent="0.35">
      <c r="A529" s="11">
        <v>528</v>
      </c>
      <c r="B529" s="10">
        <v>41934</v>
      </c>
      <c r="C529" s="11">
        <v>2014</v>
      </c>
      <c r="D529" s="12" t="s">
        <v>41</v>
      </c>
      <c r="E529" s="10">
        <v>41939</v>
      </c>
      <c r="F529" s="11">
        <f t="shared" si="24"/>
        <v>5</v>
      </c>
      <c r="G529" s="11" t="s">
        <v>42</v>
      </c>
      <c r="H529" s="11" t="s">
        <v>887</v>
      </c>
      <c r="I529" s="11" t="s">
        <v>76</v>
      </c>
      <c r="J529" s="11" t="s">
        <v>890</v>
      </c>
      <c r="K529" s="11" t="s">
        <v>888</v>
      </c>
      <c r="L529" s="11" t="s">
        <v>45</v>
      </c>
      <c r="M529" s="11" t="s">
        <v>26</v>
      </c>
      <c r="N529" s="11" t="s">
        <v>27</v>
      </c>
      <c r="O529" s="11" t="s">
        <v>51</v>
      </c>
      <c r="P529" s="11" t="s">
        <v>588</v>
      </c>
      <c r="Q529" s="13">
        <v>45.695999999999998</v>
      </c>
      <c r="R529" s="11">
        <v>3</v>
      </c>
      <c r="S529" s="16">
        <v>0.2</v>
      </c>
      <c r="T529" s="13">
        <v>5.1407999999999996</v>
      </c>
      <c r="U529" s="1" t="str">
        <f t="shared" si="25"/>
        <v>Profit</v>
      </c>
      <c r="V529" s="1" t="str">
        <f t="shared" si="26"/>
        <v>Low</v>
      </c>
    </row>
    <row r="530" spans="1:22" x14ac:dyDescent="0.35">
      <c r="C530" s="11"/>
      <c r="Q530" s="13"/>
      <c r="S530" s="16"/>
      <c r="T530" s="13"/>
    </row>
    <row r="531" spans="1:22" x14ac:dyDescent="0.35">
      <c r="C531" s="11"/>
      <c r="Q531" s="13"/>
      <c r="S531" s="16"/>
      <c r="T531" s="13"/>
    </row>
    <row r="532" spans="1:22" x14ac:dyDescent="0.35">
      <c r="C532" s="11"/>
      <c r="Q532" s="13"/>
      <c r="S532" s="16"/>
      <c r="T532" s="13"/>
    </row>
    <row r="533" spans="1:22" x14ac:dyDescent="0.35">
      <c r="C533" s="11"/>
      <c r="Q533" s="13"/>
      <c r="S533" s="16"/>
      <c r="T533" s="13"/>
    </row>
    <row r="534" spans="1:22" x14ac:dyDescent="0.35">
      <c r="C534" s="11"/>
      <c r="Q534" s="13"/>
      <c r="S534" s="16"/>
      <c r="T534" s="13"/>
    </row>
    <row r="535" spans="1:22" x14ac:dyDescent="0.35">
      <c r="C535" s="11"/>
      <c r="Q535" s="13"/>
      <c r="S535" s="16"/>
      <c r="T535" s="13"/>
    </row>
    <row r="536" spans="1:22" x14ac:dyDescent="0.35">
      <c r="C536" s="11"/>
      <c r="Q536" s="13"/>
      <c r="S536" s="16"/>
      <c r="T536" s="13"/>
    </row>
    <row r="537" spans="1:22" x14ac:dyDescent="0.35">
      <c r="C537" s="11"/>
      <c r="Q537" s="13"/>
      <c r="S537" s="16"/>
      <c r="T537" s="13"/>
    </row>
    <row r="538" spans="1:22" x14ac:dyDescent="0.35">
      <c r="C538" s="11"/>
      <c r="Q538" s="13"/>
      <c r="S538" s="16"/>
      <c r="T538" s="13"/>
    </row>
    <row r="539" spans="1:22" x14ac:dyDescent="0.35">
      <c r="C539" s="11"/>
      <c r="Q539" s="13"/>
      <c r="S539" s="16"/>
      <c r="T539" s="13"/>
    </row>
    <row r="540" spans="1:22" x14ac:dyDescent="0.35">
      <c r="C540" s="11"/>
      <c r="Q540" s="13"/>
      <c r="S540" s="16"/>
      <c r="T540" s="13"/>
    </row>
    <row r="541" spans="1:22" x14ac:dyDescent="0.35">
      <c r="C541" s="11"/>
      <c r="Q541" s="13"/>
      <c r="S541" s="16"/>
      <c r="T541" s="13"/>
    </row>
    <row r="542" spans="1:22" x14ac:dyDescent="0.35">
      <c r="C542" s="11"/>
      <c r="Q542" s="13"/>
      <c r="S542" s="16"/>
      <c r="T542" s="13"/>
    </row>
    <row r="543" spans="1:22" x14ac:dyDescent="0.35">
      <c r="C543" s="11"/>
      <c r="Q543" s="13"/>
      <c r="S543" s="16"/>
      <c r="T543" s="13"/>
    </row>
    <row r="544" spans="1:22" x14ac:dyDescent="0.35">
      <c r="C544" s="11"/>
      <c r="Q544" s="13"/>
      <c r="S544" s="16"/>
      <c r="T544" s="13"/>
    </row>
    <row r="545" spans="3:20" x14ac:dyDescent="0.35">
      <c r="C545" s="11"/>
      <c r="Q545" s="13"/>
      <c r="S545" s="16"/>
      <c r="T545" s="13"/>
    </row>
    <row r="546" spans="3:20" x14ac:dyDescent="0.35">
      <c r="C546" s="11"/>
      <c r="Q546" s="13"/>
      <c r="S546" s="16"/>
      <c r="T546" s="13"/>
    </row>
    <row r="547" spans="3:20" x14ac:dyDescent="0.35">
      <c r="C547" s="11"/>
      <c r="Q547" s="13"/>
      <c r="S547" s="16"/>
      <c r="T547" s="13"/>
    </row>
    <row r="548" spans="3:20" x14ac:dyDescent="0.35">
      <c r="C548" s="11"/>
      <c r="Q548" s="13"/>
      <c r="S548" s="16"/>
      <c r="T548" s="13"/>
    </row>
    <row r="549" spans="3:20" x14ac:dyDescent="0.35">
      <c r="C549" s="11"/>
      <c r="Q549" s="13"/>
      <c r="S549" s="16"/>
      <c r="T549" s="13"/>
    </row>
    <row r="550" spans="3:20" x14ac:dyDescent="0.35">
      <c r="C550" s="11"/>
      <c r="Q550" s="13"/>
      <c r="S550" s="16"/>
      <c r="T550" s="13"/>
    </row>
    <row r="551" spans="3:20" x14ac:dyDescent="0.35">
      <c r="C551" s="11"/>
      <c r="Q551" s="13"/>
      <c r="S551" s="16"/>
      <c r="T551" s="13"/>
    </row>
    <row r="552" spans="3:20" x14ac:dyDescent="0.35">
      <c r="C552" s="11"/>
      <c r="Q552" s="13"/>
      <c r="S552" s="16"/>
      <c r="T552" s="13"/>
    </row>
    <row r="553" spans="3:20" x14ac:dyDescent="0.35">
      <c r="C553" s="11"/>
      <c r="Q553" s="13"/>
      <c r="S553" s="16"/>
      <c r="T553" s="13"/>
    </row>
    <row r="554" spans="3:20" x14ac:dyDescent="0.35">
      <c r="C554" s="11"/>
      <c r="Q554" s="13"/>
      <c r="S554" s="16"/>
      <c r="T554" s="13"/>
    </row>
    <row r="555" spans="3:20" x14ac:dyDescent="0.35">
      <c r="C555" s="11"/>
      <c r="Q555" s="13"/>
      <c r="S555" s="16"/>
      <c r="T555" s="13"/>
    </row>
    <row r="556" spans="3:20" x14ac:dyDescent="0.35">
      <c r="C556" s="11"/>
      <c r="Q556" s="13"/>
      <c r="S556" s="16"/>
      <c r="T556" s="13"/>
    </row>
    <row r="557" spans="3:20" x14ac:dyDescent="0.35">
      <c r="C557" s="11"/>
      <c r="Q557" s="13"/>
      <c r="S557" s="16"/>
      <c r="T557" s="13"/>
    </row>
    <row r="558" spans="3:20" x14ac:dyDescent="0.35">
      <c r="C558" s="11"/>
      <c r="Q558" s="13"/>
      <c r="S558" s="16"/>
      <c r="T558" s="13"/>
    </row>
    <row r="559" spans="3:20" x14ac:dyDescent="0.35">
      <c r="C559" s="11"/>
      <c r="Q559" s="13"/>
      <c r="S559" s="16"/>
      <c r="T559" s="13"/>
    </row>
    <row r="560" spans="3:20" x14ac:dyDescent="0.35">
      <c r="C560" s="11"/>
      <c r="Q560" s="13"/>
      <c r="S560" s="16"/>
      <c r="T560" s="13"/>
    </row>
    <row r="561" spans="3:20" x14ac:dyDescent="0.35">
      <c r="C561" s="11"/>
      <c r="Q561" s="13"/>
      <c r="S561" s="16"/>
      <c r="T561" s="13"/>
    </row>
    <row r="562" spans="3:20" x14ac:dyDescent="0.35">
      <c r="C562" s="11"/>
      <c r="Q562" s="13"/>
      <c r="S562" s="16"/>
      <c r="T562" s="13"/>
    </row>
    <row r="563" spans="3:20" x14ac:dyDescent="0.35">
      <c r="C563" s="11"/>
      <c r="Q563" s="13"/>
      <c r="S563" s="16"/>
      <c r="T563" s="13"/>
    </row>
    <row r="564" spans="3:20" x14ac:dyDescent="0.35">
      <c r="C564" s="11"/>
      <c r="Q564" s="13"/>
      <c r="S564" s="16"/>
      <c r="T564" s="13"/>
    </row>
    <row r="565" spans="3:20" x14ac:dyDescent="0.35">
      <c r="C565" s="11"/>
      <c r="Q565" s="13"/>
      <c r="S565" s="16"/>
      <c r="T565" s="13"/>
    </row>
    <row r="566" spans="3:20" x14ac:dyDescent="0.35">
      <c r="C566" s="11"/>
      <c r="Q566" s="13"/>
      <c r="S566" s="16"/>
      <c r="T566" s="13"/>
    </row>
    <row r="567" spans="3:20" x14ac:dyDescent="0.35">
      <c r="C567" s="11"/>
      <c r="Q567" s="13"/>
      <c r="S567" s="16"/>
      <c r="T567" s="13"/>
    </row>
    <row r="568" spans="3:20" x14ac:dyDescent="0.35">
      <c r="C568" s="11"/>
      <c r="Q568" s="13"/>
      <c r="S568" s="16"/>
      <c r="T568" s="13"/>
    </row>
    <row r="569" spans="3:20" x14ac:dyDescent="0.35">
      <c r="C569" s="11"/>
      <c r="Q569" s="13"/>
      <c r="S569" s="16"/>
      <c r="T569" s="13"/>
    </row>
    <row r="570" spans="3:20" x14ac:dyDescent="0.35">
      <c r="C570" s="11"/>
      <c r="Q570" s="13"/>
      <c r="S570" s="16"/>
      <c r="T570" s="13"/>
    </row>
    <row r="571" spans="3:20" x14ac:dyDescent="0.35">
      <c r="C571" s="11"/>
      <c r="Q571" s="13"/>
      <c r="S571" s="16"/>
      <c r="T571" s="13"/>
    </row>
    <row r="572" spans="3:20" x14ac:dyDescent="0.35">
      <c r="C572" s="11"/>
      <c r="Q572" s="13"/>
      <c r="S572" s="16"/>
      <c r="T572" s="13"/>
    </row>
    <row r="573" spans="3:20" x14ac:dyDescent="0.35">
      <c r="C573" s="11"/>
      <c r="Q573" s="13"/>
      <c r="S573" s="16"/>
      <c r="T573" s="13"/>
    </row>
    <row r="574" spans="3:20" x14ac:dyDescent="0.35">
      <c r="C574" s="11"/>
      <c r="Q574" s="13"/>
      <c r="S574" s="16"/>
      <c r="T574" s="13"/>
    </row>
    <row r="575" spans="3:20" x14ac:dyDescent="0.35">
      <c r="C575" s="11"/>
      <c r="Q575" s="13"/>
      <c r="S575" s="16"/>
      <c r="T575" s="13"/>
    </row>
    <row r="576" spans="3:20" x14ac:dyDescent="0.35">
      <c r="C576" s="11"/>
      <c r="Q576" s="13"/>
      <c r="S576" s="16"/>
      <c r="T576" s="13"/>
    </row>
    <row r="577" spans="3:20" x14ac:dyDescent="0.35">
      <c r="C577" s="11"/>
      <c r="Q577" s="13"/>
      <c r="S577" s="16"/>
      <c r="T577" s="13"/>
    </row>
    <row r="578" spans="3:20" x14ac:dyDescent="0.35">
      <c r="C578" s="11"/>
      <c r="Q578" s="13"/>
      <c r="S578" s="16"/>
      <c r="T578" s="13"/>
    </row>
    <row r="579" spans="3:20" x14ac:dyDescent="0.35">
      <c r="C579" s="11"/>
      <c r="Q579" s="13"/>
      <c r="S579" s="16"/>
      <c r="T579" s="13"/>
    </row>
    <row r="580" spans="3:20" x14ac:dyDescent="0.35">
      <c r="C580" s="11"/>
      <c r="Q580" s="13"/>
      <c r="S580" s="16"/>
      <c r="T580" s="13"/>
    </row>
    <row r="581" spans="3:20" x14ac:dyDescent="0.35">
      <c r="C581" s="11"/>
      <c r="Q581" s="13"/>
      <c r="S581" s="16"/>
      <c r="T581" s="13"/>
    </row>
    <row r="582" spans="3:20" x14ac:dyDescent="0.35">
      <c r="C582" s="11"/>
      <c r="Q582" s="13"/>
      <c r="S582" s="16"/>
      <c r="T582" s="13"/>
    </row>
    <row r="583" spans="3:20" x14ac:dyDescent="0.35">
      <c r="C583" s="11"/>
      <c r="Q583" s="13"/>
      <c r="S583" s="16"/>
      <c r="T583" s="13"/>
    </row>
    <row r="584" spans="3:20" x14ac:dyDescent="0.35">
      <c r="C584" s="11"/>
      <c r="Q584" s="13"/>
      <c r="S584" s="16"/>
      <c r="T584" s="13"/>
    </row>
    <row r="585" spans="3:20" x14ac:dyDescent="0.35">
      <c r="C585" s="11"/>
      <c r="Q585" s="13"/>
      <c r="S585" s="16"/>
      <c r="T585" s="13"/>
    </row>
    <row r="586" spans="3:20" x14ac:dyDescent="0.35">
      <c r="C586" s="11"/>
      <c r="Q586" s="13"/>
      <c r="S586" s="16"/>
      <c r="T586" s="13"/>
    </row>
    <row r="587" spans="3:20" x14ac:dyDescent="0.35">
      <c r="C587" s="11"/>
      <c r="Q587" s="13"/>
      <c r="S587" s="16"/>
      <c r="T587" s="13"/>
    </row>
    <row r="588" spans="3:20" x14ac:dyDescent="0.35">
      <c r="C588" s="11"/>
      <c r="Q588" s="13"/>
      <c r="S588" s="16"/>
      <c r="T588" s="13"/>
    </row>
    <row r="589" spans="3:20" x14ac:dyDescent="0.35">
      <c r="C589" s="11"/>
      <c r="Q589" s="13"/>
      <c r="S589" s="16"/>
      <c r="T589" s="13"/>
    </row>
    <row r="590" spans="3:20" x14ac:dyDescent="0.35">
      <c r="C590" s="11"/>
      <c r="Q590" s="13"/>
      <c r="S590" s="16"/>
      <c r="T590" s="13"/>
    </row>
    <row r="591" spans="3:20" x14ac:dyDescent="0.35">
      <c r="C591" s="11"/>
      <c r="Q591" s="13"/>
      <c r="S591" s="16"/>
      <c r="T591" s="13"/>
    </row>
    <row r="592" spans="3:20" x14ac:dyDescent="0.35">
      <c r="C592" s="11"/>
      <c r="Q592" s="13"/>
      <c r="S592" s="16"/>
      <c r="T592" s="13"/>
    </row>
    <row r="593" spans="3:20" x14ac:dyDescent="0.35">
      <c r="C593" s="11"/>
      <c r="Q593" s="13"/>
      <c r="S593" s="16"/>
      <c r="T593" s="13"/>
    </row>
    <row r="594" spans="3:20" x14ac:dyDescent="0.35">
      <c r="C594" s="11"/>
      <c r="Q594" s="13"/>
      <c r="S594" s="16"/>
      <c r="T594" s="13"/>
    </row>
    <row r="595" spans="3:20" x14ac:dyDescent="0.35">
      <c r="C595" s="11"/>
      <c r="Q595" s="13"/>
      <c r="S595" s="16"/>
      <c r="T595" s="13"/>
    </row>
    <row r="596" spans="3:20" x14ac:dyDescent="0.35">
      <c r="C596" s="11"/>
      <c r="Q596" s="13"/>
      <c r="S596" s="16"/>
      <c r="T596" s="13"/>
    </row>
    <row r="597" spans="3:20" x14ac:dyDescent="0.35">
      <c r="C597" s="11"/>
      <c r="Q597" s="13"/>
      <c r="S597" s="16"/>
      <c r="T597" s="13"/>
    </row>
    <row r="598" spans="3:20" x14ac:dyDescent="0.35">
      <c r="C598" s="11"/>
      <c r="Q598" s="13"/>
      <c r="S598" s="16"/>
      <c r="T598" s="13"/>
    </row>
    <row r="599" spans="3:20" x14ac:dyDescent="0.35">
      <c r="C599" s="11"/>
      <c r="Q599" s="13"/>
      <c r="S599" s="16"/>
      <c r="T599" s="13"/>
    </row>
    <row r="600" spans="3:20" x14ac:dyDescent="0.35">
      <c r="C600" s="11"/>
      <c r="Q600" s="13"/>
      <c r="S600" s="16"/>
      <c r="T600" s="13"/>
    </row>
    <row r="601" spans="3:20" x14ac:dyDescent="0.35">
      <c r="C601" s="11"/>
      <c r="Q601" s="13"/>
      <c r="S601" s="16"/>
      <c r="T601" s="13"/>
    </row>
    <row r="602" spans="3:20" x14ac:dyDescent="0.35">
      <c r="C602" s="11"/>
      <c r="Q602" s="13"/>
      <c r="S602" s="16"/>
      <c r="T602" s="13"/>
    </row>
    <row r="603" spans="3:20" x14ac:dyDescent="0.35">
      <c r="C603" s="11"/>
      <c r="Q603" s="13"/>
      <c r="S603" s="16"/>
      <c r="T603" s="13"/>
    </row>
    <row r="604" spans="3:20" x14ac:dyDescent="0.35">
      <c r="C604" s="11"/>
      <c r="Q604" s="13"/>
      <c r="S604" s="16"/>
      <c r="T604" s="13"/>
    </row>
    <row r="605" spans="3:20" x14ac:dyDescent="0.35">
      <c r="C605" s="11"/>
      <c r="Q605" s="13"/>
      <c r="S605" s="16"/>
      <c r="T605" s="13"/>
    </row>
    <row r="606" spans="3:20" x14ac:dyDescent="0.35">
      <c r="C606" s="11"/>
      <c r="Q606" s="13"/>
      <c r="S606" s="16"/>
      <c r="T606" s="13"/>
    </row>
    <row r="607" spans="3:20" x14ac:dyDescent="0.35">
      <c r="C607" s="11"/>
      <c r="Q607" s="13"/>
      <c r="S607" s="16"/>
      <c r="T607" s="13"/>
    </row>
    <row r="608" spans="3:20" x14ac:dyDescent="0.35">
      <c r="C608" s="11"/>
      <c r="Q608" s="13"/>
      <c r="S608" s="16"/>
      <c r="T608" s="13"/>
    </row>
    <row r="609" spans="3:20" x14ac:dyDescent="0.35">
      <c r="C609" s="11"/>
      <c r="Q609" s="13"/>
      <c r="S609" s="16"/>
      <c r="T609" s="13"/>
    </row>
    <row r="610" spans="3:20" x14ac:dyDescent="0.35">
      <c r="C610" s="11"/>
      <c r="Q610" s="13"/>
      <c r="S610" s="16"/>
      <c r="T610" s="13"/>
    </row>
    <row r="611" spans="3:20" x14ac:dyDescent="0.35">
      <c r="C611" s="11"/>
      <c r="Q611" s="13"/>
      <c r="S611" s="16"/>
      <c r="T611" s="13"/>
    </row>
    <row r="612" spans="3:20" x14ac:dyDescent="0.35">
      <c r="C612" s="11"/>
      <c r="Q612" s="13"/>
      <c r="S612" s="16"/>
      <c r="T612" s="13"/>
    </row>
    <row r="613" spans="3:20" x14ac:dyDescent="0.35">
      <c r="C613" s="11"/>
      <c r="Q613" s="13"/>
      <c r="S613" s="16"/>
      <c r="T613" s="13"/>
    </row>
    <row r="614" spans="3:20" x14ac:dyDescent="0.35">
      <c r="C614" s="11"/>
      <c r="Q614" s="13"/>
      <c r="S614" s="16"/>
      <c r="T614" s="13"/>
    </row>
    <row r="615" spans="3:20" x14ac:dyDescent="0.35">
      <c r="C615" s="11"/>
      <c r="Q615" s="13"/>
      <c r="S615" s="16"/>
      <c r="T615" s="13"/>
    </row>
    <row r="616" spans="3:20" x14ac:dyDescent="0.35">
      <c r="C616" s="11"/>
      <c r="Q616" s="13"/>
      <c r="S616" s="16"/>
      <c r="T616" s="13"/>
    </row>
    <row r="617" spans="3:20" x14ac:dyDescent="0.35">
      <c r="C617" s="11"/>
      <c r="Q617" s="13"/>
      <c r="S617" s="16"/>
      <c r="T617" s="13"/>
    </row>
    <row r="618" spans="3:20" x14ac:dyDescent="0.35">
      <c r="C618" s="11"/>
      <c r="Q618" s="13"/>
      <c r="S618" s="16"/>
      <c r="T618" s="13"/>
    </row>
    <row r="619" spans="3:20" x14ac:dyDescent="0.35">
      <c r="C619" s="11"/>
      <c r="Q619" s="13"/>
      <c r="S619" s="16"/>
      <c r="T619" s="13"/>
    </row>
    <row r="620" spans="3:20" x14ac:dyDescent="0.35">
      <c r="C620" s="11"/>
      <c r="Q620" s="13"/>
      <c r="S620" s="16"/>
      <c r="T620" s="13"/>
    </row>
    <row r="621" spans="3:20" x14ac:dyDescent="0.35">
      <c r="C621" s="11"/>
      <c r="Q621" s="13"/>
      <c r="S621" s="16"/>
      <c r="T621" s="13"/>
    </row>
    <row r="622" spans="3:20" x14ac:dyDescent="0.35">
      <c r="C622" s="11"/>
      <c r="Q622" s="13"/>
      <c r="S622" s="16"/>
      <c r="T622" s="13"/>
    </row>
    <row r="623" spans="3:20" x14ac:dyDescent="0.35">
      <c r="C623" s="11"/>
      <c r="Q623" s="13"/>
      <c r="S623" s="16"/>
      <c r="T623" s="13"/>
    </row>
    <row r="624" spans="3:20" x14ac:dyDescent="0.35">
      <c r="C624" s="11"/>
      <c r="Q624" s="13"/>
      <c r="S624" s="16"/>
      <c r="T624" s="13"/>
    </row>
    <row r="625" spans="3:20" x14ac:dyDescent="0.35">
      <c r="C625" s="11"/>
      <c r="Q625" s="13"/>
      <c r="S625" s="16"/>
      <c r="T625" s="13"/>
    </row>
    <row r="626" spans="3:20" x14ac:dyDescent="0.35">
      <c r="C626" s="11"/>
      <c r="Q626" s="13"/>
      <c r="S626" s="16"/>
      <c r="T626" s="13"/>
    </row>
    <row r="627" spans="3:20" x14ac:dyDescent="0.35">
      <c r="C627" s="11"/>
      <c r="Q627" s="13"/>
      <c r="S627" s="16"/>
      <c r="T627" s="13"/>
    </row>
    <row r="628" spans="3:20" x14ac:dyDescent="0.35">
      <c r="C628" s="11"/>
      <c r="Q628" s="13"/>
      <c r="S628" s="16"/>
      <c r="T628" s="13"/>
    </row>
    <row r="629" spans="3:20" x14ac:dyDescent="0.35">
      <c r="C629" s="11"/>
      <c r="Q629" s="13"/>
      <c r="S629" s="16"/>
      <c r="T629" s="13"/>
    </row>
    <row r="630" spans="3:20" x14ac:dyDescent="0.35">
      <c r="C630" s="11"/>
      <c r="Q630" s="13"/>
      <c r="S630" s="16"/>
      <c r="T630" s="13"/>
    </row>
    <row r="631" spans="3:20" x14ac:dyDescent="0.35">
      <c r="C631" s="11"/>
      <c r="Q631" s="13"/>
      <c r="S631" s="16"/>
      <c r="T631" s="13"/>
    </row>
    <row r="632" spans="3:20" x14ac:dyDescent="0.35">
      <c r="C632" s="11"/>
      <c r="Q632" s="13"/>
      <c r="S632" s="16"/>
      <c r="T632" s="13"/>
    </row>
    <row r="633" spans="3:20" x14ac:dyDescent="0.35">
      <c r="C633" s="11"/>
      <c r="Q633" s="13"/>
      <c r="S633" s="16"/>
      <c r="T633" s="13"/>
    </row>
    <row r="634" spans="3:20" x14ac:dyDescent="0.35">
      <c r="C634" s="11"/>
      <c r="Q634" s="13"/>
      <c r="S634" s="16"/>
      <c r="T634" s="13"/>
    </row>
    <row r="635" spans="3:20" x14ac:dyDescent="0.35">
      <c r="C635" s="11"/>
      <c r="Q635" s="13"/>
      <c r="S635" s="16"/>
      <c r="T635" s="13"/>
    </row>
    <row r="636" spans="3:20" x14ac:dyDescent="0.35">
      <c r="C636" s="11"/>
      <c r="Q636" s="13"/>
      <c r="S636" s="16"/>
      <c r="T636" s="13"/>
    </row>
    <row r="637" spans="3:20" x14ac:dyDescent="0.35">
      <c r="C637" s="11"/>
      <c r="Q637" s="13"/>
      <c r="S637" s="16"/>
      <c r="T637" s="13"/>
    </row>
    <row r="638" spans="3:20" x14ac:dyDescent="0.35">
      <c r="C638" s="11"/>
      <c r="Q638" s="13"/>
      <c r="S638" s="16"/>
      <c r="T638" s="13"/>
    </row>
    <row r="639" spans="3:20" x14ac:dyDescent="0.35">
      <c r="C639" s="11"/>
      <c r="Q639" s="13"/>
      <c r="S639" s="16"/>
      <c r="T639" s="13"/>
    </row>
    <row r="640" spans="3:20" x14ac:dyDescent="0.35">
      <c r="C640" s="11"/>
      <c r="Q640" s="13"/>
      <c r="S640" s="16"/>
      <c r="T640" s="13"/>
    </row>
    <row r="641" spans="3:20" x14ac:dyDescent="0.35">
      <c r="C641" s="11"/>
      <c r="Q641" s="13"/>
      <c r="S641" s="16"/>
      <c r="T641" s="13"/>
    </row>
    <row r="642" spans="3:20" x14ac:dyDescent="0.35">
      <c r="C642" s="11"/>
      <c r="Q642" s="13"/>
      <c r="S642" s="16"/>
      <c r="T642" s="13"/>
    </row>
    <row r="643" spans="3:20" x14ac:dyDescent="0.35">
      <c r="C643" s="11"/>
      <c r="Q643" s="13"/>
      <c r="S643" s="16"/>
      <c r="T643" s="13"/>
    </row>
    <row r="644" spans="3:20" x14ac:dyDescent="0.35">
      <c r="C644" s="11"/>
      <c r="Q644" s="13"/>
      <c r="S644" s="16"/>
      <c r="T644" s="13"/>
    </row>
    <row r="645" spans="3:20" x14ac:dyDescent="0.35">
      <c r="C645" s="11"/>
      <c r="Q645" s="13"/>
      <c r="S645" s="16"/>
      <c r="T645" s="13"/>
    </row>
    <row r="646" spans="3:20" x14ac:dyDescent="0.35">
      <c r="C646" s="11"/>
      <c r="Q646" s="13"/>
      <c r="S646" s="16"/>
      <c r="T646" s="13"/>
    </row>
    <row r="647" spans="3:20" x14ac:dyDescent="0.35">
      <c r="C647" s="11"/>
      <c r="Q647" s="13"/>
      <c r="S647" s="16"/>
      <c r="T647" s="13"/>
    </row>
    <row r="648" spans="3:20" x14ac:dyDescent="0.35">
      <c r="C648" s="11"/>
      <c r="Q648" s="13"/>
      <c r="S648" s="16"/>
      <c r="T648" s="13"/>
    </row>
    <row r="649" spans="3:20" x14ac:dyDescent="0.35">
      <c r="C649" s="11"/>
      <c r="Q649" s="13"/>
      <c r="S649" s="16"/>
      <c r="T649" s="13"/>
    </row>
    <row r="650" spans="3:20" x14ac:dyDescent="0.35">
      <c r="C650" s="11"/>
      <c r="Q650" s="13"/>
      <c r="S650" s="16"/>
      <c r="T650" s="13"/>
    </row>
    <row r="651" spans="3:20" x14ac:dyDescent="0.35">
      <c r="C651" s="11"/>
      <c r="Q651" s="13"/>
      <c r="S651" s="16"/>
      <c r="T651" s="13"/>
    </row>
    <row r="652" spans="3:20" x14ac:dyDescent="0.35">
      <c r="C652" s="11"/>
      <c r="Q652" s="13"/>
      <c r="S652" s="16"/>
      <c r="T652" s="13"/>
    </row>
    <row r="653" spans="3:20" x14ac:dyDescent="0.35">
      <c r="C653" s="11"/>
      <c r="Q653" s="13"/>
      <c r="S653" s="16"/>
      <c r="T653" s="13"/>
    </row>
    <row r="654" spans="3:20" x14ac:dyDescent="0.35">
      <c r="C654" s="11"/>
      <c r="Q654" s="13"/>
      <c r="S654" s="16"/>
      <c r="T654" s="13"/>
    </row>
    <row r="655" spans="3:20" x14ac:dyDescent="0.35">
      <c r="C655" s="11"/>
      <c r="Q655" s="13"/>
      <c r="S655" s="16"/>
      <c r="T655" s="13"/>
    </row>
    <row r="656" spans="3:20" x14ac:dyDescent="0.35">
      <c r="C656" s="11"/>
      <c r="Q656" s="13"/>
      <c r="S656" s="16"/>
      <c r="T656" s="13"/>
    </row>
    <row r="657" spans="3:20" x14ac:dyDescent="0.35">
      <c r="C657" s="11"/>
      <c r="Q657" s="13"/>
      <c r="S657" s="16"/>
      <c r="T657" s="13"/>
    </row>
    <row r="658" spans="3:20" x14ac:dyDescent="0.35">
      <c r="C658" s="11"/>
      <c r="Q658" s="13"/>
      <c r="S658" s="16"/>
      <c r="T658" s="13"/>
    </row>
    <row r="659" spans="3:20" x14ac:dyDescent="0.35">
      <c r="C659" s="11"/>
      <c r="Q659" s="13"/>
      <c r="S659" s="16"/>
      <c r="T659" s="13"/>
    </row>
    <row r="660" spans="3:20" x14ac:dyDescent="0.35">
      <c r="C660" s="11"/>
      <c r="Q660" s="13"/>
      <c r="S660" s="16"/>
      <c r="T660" s="13"/>
    </row>
    <row r="661" spans="3:20" x14ac:dyDescent="0.35">
      <c r="C661" s="11"/>
      <c r="Q661" s="13"/>
      <c r="S661" s="16"/>
      <c r="T661" s="13"/>
    </row>
    <row r="662" spans="3:20" x14ac:dyDescent="0.35">
      <c r="C662" s="11"/>
      <c r="Q662" s="13"/>
      <c r="S662" s="16"/>
      <c r="T662" s="13"/>
    </row>
    <row r="663" spans="3:20" x14ac:dyDescent="0.35">
      <c r="C663" s="11"/>
      <c r="Q663" s="13"/>
      <c r="S663" s="16"/>
      <c r="T663" s="13"/>
    </row>
    <row r="664" spans="3:20" x14ac:dyDescent="0.35">
      <c r="C664" s="11"/>
      <c r="Q664" s="13"/>
      <c r="S664" s="16"/>
      <c r="T664" s="13"/>
    </row>
    <row r="665" spans="3:20" x14ac:dyDescent="0.35">
      <c r="C665" s="11"/>
      <c r="Q665" s="13"/>
      <c r="S665" s="16"/>
      <c r="T665" s="13"/>
    </row>
    <row r="666" spans="3:20" x14ac:dyDescent="0.35">
      <c r="C666" s="11"/>
      <c r="Q666" s="13"/>
      <c r="S666" s="16"/>
      <c r="T666" s="13"/>
    </row>
    <row r="667" spans="3:20" x14ac:dyDescent="0.35">
      <c r="C667" s="11"/>
      <c r="Q667" s="13"/>
      <c r="S667" s="16"/>
      <c r="T667" s="13"/>
    </row>
    <row r="668" spans="3:20" x14ac:dyDescent="0.35">
      <c r="C668" s="11"/>
      <c r="Q668" s="13"/>
      <c r="S668" s="16"/>
      <c r="T668" s="13"/>
    </row>
    <row r="669" spans="3:20" x14ac:dyDescent="0.35">
      <c r="C669" s="11"/>
      <c r="Q669" s="13"/>
      <c r="S669" s="16"/>
      <c r="T669" s="13"/>
    </row>
    <row r="670" spans="3:20" x14ac:dyDescent="0.35">
      <c r="C670" s="11"/>
      <c r="Q670" s="13"/>
      <c r="S670" s="16"/>
      <c r="T670" s="13"/>
    </row>
    <row r="671" spans="3:20" x14ac:dyDescent="0.35">
      <c r="C671" s="11"/>
      <c r="Q671" s="13"/>
      <c r="S671" s="16"/>
      <c r="T671" s="13"/>
    </row>
    <row r="672" spans="3:20" x14ac:dyDescent="0.35">
      <c r="C672" s="11"/>
      <c r="Q672" s="13"/>
      <c r="S672" s="16"/>
      <c r="T672" s="13"/>
    </row>
    <row r="673" spans="3:20" x14ac:dyDescent="0.35">
      <c r="C673" s="11"/>
      <c r="Q673" s="13"/>
      <c r="S673" s="16"/>
      <c r="T673" s="13"/>
    </row>
    <row r="674" spans="3:20" x14ac:dyDescent="0.35">
      <c r="C674" s="11"/>
      <c r="Q674" s="13"/>
      <c r="S674" s="16"/>
      <c r="T674" s="13"/>
    </row>
    <row r="675" spans="3:20" x14ac:dyDescent="0.35">
      <c r="C675" s="11"/>
      <c r="Q675" s="13"/>
      <c r="S675" s="16"/>
      <c r="T675" s="13"/>
    </row>
    <row r="676" spans="3:20" x14ac:dyDescent="0.35">
      <c r="C676" s="11"/>
      <c r="Q676" s="13"/>
      <c r="S676" s="16"/>
      <c r="T676" s="13"/>
    </row>
    <row r="677" spans="3:20" x14ac:dyDescent="0.35">
      <c r="C677" s="11"/>
      <c r="Q677" s="13"/>
      <c r="S677" s="16"/>
      <c r="T677" s="13"/>
    </row>
    <row r="678" spans="3:20" x14ac:dyDescent="0.35">
      <c r="C678" s="11"/>
      <c r="Q678" s="13"/>
      <c r="S678" s="16"/>
      <c r="T678" s="13"/>
    </row>
    <row r="679" spans="3:20" x14ac:dyDescent="0.35">
      <c r="C679" s="11"/>
      <c r="Q679" s="13"/>
      <c r="S679" s="16"/>
      <c r="T679" s="13"/>
    </row>
    <row r="680" spans="3:20" x14ac:dyDescent="0.35">
      <c r="C680" s="11"/>
      <c r="Q680" s="13"/>
      <c r="S680" s="16"/>
      <c r="T680" s="13"/>
    </row>
    <row r="681" spans="3:20" x14ac:dyDescent="0.35">
      <c r="C681" s="11"/>
      <c r="Q681" s="13"/>
      <c r="S681" s="16"/>
      <c r="T681" s="13"/>
    </row>
    <row r="682" spans="3:20" x14ac:dyDescent="0.35">
      <c r="C682" s="11"/>
      <c r="Q682" s="13"/>
      <c r="S682" s="16"/>
      <c r="T682" s="13"/>
    </row>
    <row r="683" spans="3:20" x14ac:dyDescent="0.35">
      <c r="C683" s="11"/>
      <c r="Q683" s="13"/>
      <c r="S683" s="16"/>
      <c r="T683" s="13"/>
    </row>
    <row r="684" spans="3:20" x14ac:dyDescent="0.35">
      <c r="C684" s="11"/>
      <c r="Q684" s="13"/>
      <c r="S684" s="16"/>
      <c r="T684" s="13"/>
    </row>
    <row r="685" spans="3:20" x14ac:dyDescent="0.35">
      <c r="C685" s="11"/>
      <c r="Q685" s="13"/>
      <c r="S685" s="16"/>
      <c r="T685" s="13"/>
    </row>
    <row r="686" spans="3:20" x14ac:dyDescent="0.35">
      <c r="C686" s="11"/>
      <c r="Q686" s="13"/>
      <c r="S686" s="16"/>
      <c r="T686" s="13"/>
    </row>
    <row r="687" spans="3:20" x14ac:dyDescent="0.35">
      <c r="C687" s="11"/>
      <c r="Q687" s="13"/>
      <c r="S687" s="16"/>
      <c r="T687" s="13"/>
    </row>
    <row r="688" spans="3:20" x14ac:dyDescent="0.35">
      <c r="C688" s="11"/>
      <c r="Q688" s="13"/>
      <c r="S688" s="16"/>
      <c r="T688" s="13"/>
    </row>
    <row r="689" spans="3:20" x14ac:dyDescent="0.35">
      <c r="C689" s="11"/>
      <c r="Q689" s="13"/>
      <c r="S689" s="16"/>
      <c r="T689" s="13"/>
    </row>
    <row r="690" spans="3:20" x14ac:dyDescent="0.35">
      <c r="C690" s="11"/>
      <c r="Q690" s="13"/>
      <c r="S690" s="16"/>
      <c r="T690" s="13"/>
    </row>
    <row r="691" spans="3:20" x14ac:dyDescent="0.35">
      <c r="C691" s="11"/>
      <c r="Q691" s="13"/>
      <c r="S691" s="16"/>
      <c r="T691" s="13"/>
    </row>
    <row r="692" spans="3:20" x14ac:dyDescent="0.35">
      <c r="C692" s="11"/>
      <c r="Q692" s="13"/>
      <c r="S692" s="16"/>
      <c r="T692" s="13"/>
    </row>
    <row r="693" spans="3:20" x14ac:dyDescent="0.35">
      <c r="C693" s="11"/>
      <c r="Q693" s="13"/>
      <c r="S693" s="16"/>
      <c r="T693" s="13"/>
    </row>
    <row r="694" spans="3:20" x14ac:dyDescent="0.35">
      <c r="C694" s="11"/>
      <c r="Q694" s="13"/>
      <c r="S694" s="16"/>
      <c r="T694" s="13"/>
    </row>
    <row r="695" spans="3:20" x14ac:dyDescent="0.35">
      <c r="C695" s="11"/>
      <c r="Q695" s="13"/>
      <c r="S695" s="16"/>
      <c r="T695" s="13"/>
    </row>
    <row r="696" spans="3:20" x14ac:dyDescent="0.35">
      <c r="C696" s="11"/>
      <c r="Q696" s="13"/>
      <c r="S696" s="16"/>
      <c r="T696" s="13"/>
    </row>
    <row r="697" spans="3:20" x14ac:dyDescent="0.35">
      <c r="C697" s="11"/>
      <c r="Q697" s="13"/>
      <c r="S697" s="16"/>
      <c r="T697" s="13"/>
    </row>
    <row r="698" spans="3:20" x14ac:dyDescent="0.35">
      <c r="C698" s="11"/>
      <c r="Q698" s="13"/>
      <c r="S698" s="16"/>
      <c r="T698" s="13"/>
    </row>
    <row r="699" spans="3:20" x14ac:dyDescent="0.35">
      <c r="C699" s="11"/>
      <c r="Q699" s="13"/>
      <c r="S699" s="16"/>
      <c r="T699" s="13"/>
    </row>
    <row r="700" spans="3:20" x14ac:dyDescent="0.35">
      <c r="C700" s="11"/>
      <c r="Q700" s="13"/>
      <c r="S700" s="16"/>
      <c r="T700" s="13"/>
    </row>
    <row r="701" spans="3:20" x14ac:dyDescent="0.35">
      <c r="C701" s="11"/>
      <c r="Q701" s="13"/>
      <c r="S701" s="16"/>
      <c r="T701" s="13"/>
    </row>
  </sheetData>
  <scenarios current="2" show="2">
    <scenario name="20 %" locked="1" count="1" user="Meet" comment="Created by Meet on 23-02-2026">
      <inputCells r="AA9" val="0.2" numFmtId="9"/>
    </scenario>
    <scenario name="30%" locked="1" count="1" user="Meet" comment="Created by Meet on 23-02-2026">
      <inputCells r="AA9" val="0.3" numFmtId="9"/>
    </scenario>
    <scenario name="50 %" locked="1" count="1" user="Meet" comment="Created by Meet on 23-02-2026">
      <inputCells r="AA9" val="0.5" numFmtId="9"/>
    </scenario>
  </scenarios>
  <mergeCells count="5">
    <mergeCell ref="X24:Y25"/>
    <mergeCell ref="X16:Y16"/>
    <mergeCell ref="X9:Y10"/>
    <mergeCell ref="X2:Y2"/>
    <mergeCell ref="X26:Y26"/>
  </mergeCells>
  <phoneticPr fontId="4" type="noConversion"/>
  <dataValidations count="1">
    <dataValidation type="whole" allowBlank="1" showInputMessage="1" showErrorMessage="1" sqref="X4" xr:uid="{B46635A8-5B22-4A5F-B254-DA36A2B70B68}">
      <formula1>1</formula1>
      <formula2>700</formula2>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48E15-0051-4892-B597-ACC3195C19F8}">
  <dimension ref="A3:T24"/>
  <sheetViews>
    <sheetView tabSelected="1" zoomScale="48" zoomScaleNormal="60" workbookViewId="0">
      <selection activeCell="V13" sqref="V13"/>
    </sheetView>
  </sheetViews>
  <sheetFormatPr defaultRowHeight="14.5" x14ac:dyDescent="0.35"/>
  <cols>
    <col min="1" max="1" width="19.6328125" bestFit="1" customWidth="1"/>
    <col min="2" max="2" width="17.36328125" bestFit="1" customWidth="1"/>
    <col min="3" max="3" width="18" customWidth="1"/>
    <col min="4" max="4" width="13.81640625" bestFit="1" customWidth="1"/>
    <col min="5" max="5" width="21" customWidth="1"/>
    <col min="6" max="6" width="12.54296875" customWidth="1"/>
    <col min="7" max="7" width="14" customWidth="1"/>
    <col min="8" max="8" width="11.54296875" bestFit="1" customWidth="1"/>
    <col min="10" max="10" width="19.6328125" bestFit="1" customWidth="1"/>
    <col min="11" max="11" width="17.36328125" bestFit="1" customWidth="1"/>
    <col min="13" max="13" width="13.81640625" bestFit="1" customWidth="1"/>
    <col min="14" max="14" width="15.90625" customWidth="1"/>
    <col min="15" max="15" width="14.08984375" customWidth="1"/>
    <col min="16" max="16" width="13.81640625" bestFit="1" customWidth="1"/>
    <col min="17" max="17" width="12.453125" bestFit="1" customWidth="1"/>
    <col min="18" max="18" width="18.6328125" customWidth="1"/>
    <col min="19" max="19" width="19.6328125" bestFit="1" customWidth="1"/>
    <col min="20" max="20" width="17.36328125" bestFit="1" customWidth="1"/>
    <col min="21" max="21" width="18.90625" customWidth="1"/>
    <col min="22" max="22" width="14.1796875" bestFit="1" customWidth="1"/>
    <col min="23" max="23" width="16.453125" customWidth="1"/>
  </cols>
  <sheetData>
    <row r="3" spans="1:20" x14ac:dyDescent="0.35">
      <c r="A3" s="3" t="s">
        <v>891</v>
      </c>
      <c r="B3" t="s">
        <v>893</v>
      </c>
      <c r="D3" s="3" t="s">
        <v>891</v>
      </c>
      <c r="E3" t="s">
        <v>894</v>
      </c>
      <c r="J3" s="3" t="s">
        <v>891</v>
      </c>
      <c r="K3" t="s">
        <v>893</v>
      </c>
      <c r="M3" s="3" t="s">
        <v>891</v>
      </c>
      <c r="N3" t="s">
        <v>893</v>
      </c>
      <c r="P3" s="3" t="s">
        <v>891</v>
      </c>
      <c r="Q3" t="s">
        <v>893</v>
      </c>
      <c r="S3" s="3" t="s">
        <v>891</v>
      </c>
      <c r="T3" t="s">
        <v>894</v>
      </c>
    </row>
    <row r="4" spans="1:20" x14ac:dyDescent="0.35">
      <c r="A4" s="4" t="s">
        <v>111</v>
      </c>
      <c r="B4" s="5">
        <v>6888.6839999999993</v>
      </c>
      <c r="D4" s="4" t="s">
        <v>111</v>
      </c>
      <c r="E4" s="5">
        <v>26.043400000000119</v>
      </c>
      <c r="J4" s="4" t="s">
        <v>890</v>
      </c>
      <c r="K4" s="5">
        <v>142349.03210000001</v>
      </c>
      <c r="M4" s="4">
        <v>2013</v>
      </c>
      <c r="N4" s="5">
        <v>40468.242599999983</v>
      </c>
      <c r="P4" s="4" t="s">
        <v>79</v>
      </c>
      <c r="Q4" s="19">
        <v>46039.699599999985</v>
      </c>
      <c r="S4" s="4" t="s">
        <v>890</v>
      </c>
      <c r="T4" s="19">
        <v>10158.723600000001</v>
      </c>
    </row>
    <row r="5" spans="1:20" x14ac:dyDescent="0.35">
      <c r="A5" s="4" t="s">
        <v>313</v>
      </c>
      <c r="B5" s="5">
        <v>861.36200000000008</v>
      </c>
      <c r="D5" s="4" t="s">
        <v>313</v>
      </c>
      <c r="E5" s="5">
        <v>22.115600000000004</v>
      </c>
      <c r="J5" s="4" t="s">
        <v>925</v>
      </c>
      <c r="K5" s="5"/>
      <c r="M5" s="4">
        <v>2012</v>
      </c>
      <c r="N5" s="5">
        <v>30988.213199999987</v>
      </c>
      <c r="P5" s="4" t="s">
        <v>106</v>
      </c>
      <c r="Q5" s="19">
        <v>33843.196000000011</v>
      </c>
      <c r="S5" s="31" t="s">
        <v>114</v>
      </c>
      <c r="T5" s="19">
        <v>2160.8869999999993</v>
      </c>
    </row>
    <row r="6" spans="1:20" x14ac:dyDescent="0.35">
      <c r="A6" s="4" t="s">
        <v>147</v>
      </c>
      <c r="B6" s="5">
        <v>9143.8419999999987</v>
      </c>
      <c r="D6" s="4" t="s">
        <v>147</v>
      </c>
      <c r="E6" s="5">
        <v>3525.4247</v>
      </c>
      <c r="J6" s="4" t="s">
        <v>892</v>
      </c>
      <c r="K6" s="5">
        <v>142349.03210000001</v>
      </c>
      <c r="M6" s="4">
        <v>2011</v>
      </c>
      <c r="N6" s="5">
        <v>47409.001999999979</v>
      </c>
      <c r="P6" s="4" t="s">
        <v>26</v>
      </c>
      <c r="Q6" s="19">
        <v>19486.8655</v>
      </c>
      <c r="S6" s="31" t="s">
        <v>60</v>
      </c>
      <c r="T6" s="19">
        <v>-49.729899999999972</v>
      </c>
    </row>
    <row r="7" spans="1:20" x14ac:dyDescent="0.35">
      <c r="A7" s="4" t="s">
        <v>64</v>
      </c>
      <c r="B7" s="5">
        <v>8886.4913000000015</v>
      </c>
      <c r="D7" s="4" t="s">
        <v>64</v>
      </c>
      <c r="E7" s="5">
        <v>-1829.1047999999994</v>
      </c>
      <c r="M7" s="4">
        <v>2014</v>
      </c>
      <c r="N7" s="5">
        <v>23483.5743</v>
      </c>
      <c r="P7" s="4" t="s">
        <v>37</v>
      </c>
      <c r="Q7" s="19">
        <v>42979.270999999957</v>
      </c>
      <c r="S7" s="31" t="s">
        <v>53</v>
      </c>
      <c r="T7" s="19">
        <v>482.16469999999998</v>
      </c>
    </row>
    <row r="8" spans="1:20" x14ac:dyDescent="0.35">
      <c r="A8" s="4" t="s">
        <v>86</v>
      </c>
      <c r="B8" s="5">
        <v>1810.7179999999998</v>
      </c>
      <c r="D8" s="4" t="s">
        <v>86</v>
      </c>
      <c r="E8" s="5">
        <v>231.41219999999998</v>
      </c>
      <c r="M8" s="4" t="s">
        <v>925</v>
      </c>
      <c r="N8" s="5"/>
      <c r="P8" s="4" t="s">
        <v>925</v>
      </c>
      <c r="Q8" s="19"/>
      <c r="S8" s="31" t="s">
        <v>58</v>
      </c>
      <c r="T8" s="19">
        <v>4224.5017000000007</v>
      </c>
    </row>
    <row r="9" spans="1:20" x14ac:dyDescent="0.35">
      <c r="A9" s="4" t="s">
        <v>32</v>
      </c>
      <c r="B9" s="5">
        <v>14570.197</v>
      </c>
      <c r="D9" s="4" t="s">
        <v>32</v>
      </c>
      <c r="E9" s="5">
        <v>2100.0939000000003</v>
      </c>
      <c r="M9" s="4" t="s">
        <v>892</v>
      </c>
      <c r="N9" s="5">
        <v>142349.03209999995</v>
      </c>
      <c r="P9" s="4" t="s">
        <v>892</v>
      </c>
      <c r="Q9" s="19">
        <v>142349.03209999995</v>
      </c>
      <c r="S9" s="31" t="s">
        <v>28</v>
      </c>
      <c r="T9" s="19">
        <v>-1878.9122</v>
      </c>
    </row>
    <row r="10" spans="1:20" x14ac:dyDescent="0.35">
      <c r="A10" s="4" t="s">
        <v>102</v>
      </c>
      <c r="B10" s="5">
        <v>3746.88</v>
      </c>
      <c r="D10" s="4" t="s">
        <v>102</v>
      </c>
      <c r="E10" s="5">
        <v>519.01209999999992</v>
      </c>
      <c r="S10" s="31" t="s">
        <v>30</v>
      </c>
      <c r="T10" s="19">
        <v>1579.0816000000002</v>
      </c>
    </row>
    <row r="11" spans="1:20" x14ac:dyDescent="0.35">
      <c r="A11" s="4" t="s">
        <v>91</v>
      </c>
      <c r="B11" s="5">
        <v>5941.8580000000002</v>
      </c>
      <c r="D11" s="4" t="s">
        <v>91</v>
      </c>
      <c r="E11" s="5">
        <v>-175.2713</v>
      </c>
      <c r="S11" s="31" t="s">
        <v>624</v>
      </c>
      <c r="T11" s="19">
        <v>2852.951</v>
      </c>
    </row>
    <row r="12" spans="1:20" x14ac:dyDescent="0.35">
      <c r="A12" s="4" t="s">
        <v>108</v>
      </c>
      <c r="B12" s="5">
        <v>41174.699599999993</v>
      </c>
      <c r="D12" s="4" t="s">
        <v>108</v>
      </c>
      <c r="E12" s="5">
        <v>-690.10139999999967</v>
      </c>
      <c r="S12" s="31" t="s">
        <v>120</v>
      </c>
      <c r="T12" s="19">
        <v>477.29610000000002</v>
      </c>
    </row>
    <row r="13" spans="1:20" x14ac:dyDescent="0.35">
      <c r="A13" s="4" t="s">
        <v>41</v>
      </c>
      <c r="B13" s="5">
        <v>11411.163499999999</v>
      </c>
      <c r="D13" s="4" t="s">
        <v>41</v>
      </c>
      <c r="E13" s="5">
        <v>1042.8764000000001</v>
      </c>
      <c r="S13" s="31" t="s">
        <v>172</v>
      </c>
      <c r="T13" s="19">
        <v>90.461499999999987</v>
      </c>
    </row>
    <row r="14" spans="1:20" x14ac:dyDescent="0.35">
      <c r="A14" s="4" t="s">
        <v>20</v>
      </c>
      <c r="B14" s="5">
        <v>15944.664500000004</v>
      </c>
      <c r="D14" s="4" t="s">
        <v>20</v>
      </c>
      <c r="E14" s="5">
        <v>3321.9651999999983</v>
      </c>
      <c r="S14" s="31" t="s">
        <v>51</v>
      </c>
      <c r="T14" s="19">
        <v>-234.99009999999993</v>
      </c>
    </row>
    <row r="15" spans="1:20" x14ac:dyDescent="0.35">
      <c r="A15" s="4" t="s">
        <v>70</v>
      </c>
      <c r="B15" s="5">
        <v>21968.472200000004</v>
      </c>
      <c r="D15" s="4" t="s">
        <v>70</v>
      </c>
      <c r="E15" s="5">
        <v>2064.2576000000004</v>
      </c>
      <c r="S15" s="31" t="s">
        <v>39</v>
      </c>
      <c r="T15" s="19">
        <v>177.13340000000002</v>
      </c>
    </row>
    <row r="16" spans="1:20" x14ac:dyDescent="0.35">
      <c r="A16" s="4" t="s">
        <v>925</v>
      </c>
      <c r="B16" s="5"/>
      <c r="D16" s="4" t="s">
        <v>925</v>
      </c>
      <c r="E16" s="5"/>
      <c r="S16" s="31" t="s">
        <v>374</v>
      </c>
      <c r="T16" s="19">
        <v>-1724.7283999999997</v>
      </c>
    </row>
    <row r="17" spans="1:20" x14ac:dyDescent="0.35">
      <c r="A17" s="4" t="s">
        <v>892</v>
      </c>
      <c r="B17" s="5">
        <v>142349.03209999998</v>
      </c>
      <c r="D17" s="4" t="s">
        <v>892</v>
      </c>
      <c r="E17" s="5">
        <v>10158.723599999999</v>
      </c>
      <c r="S17" s="31" t="s">
        <v>68</v>
      </c>
      <c r="T17" s="19">
        <v>1243.1553999999996</v>
      </c>
    </row>
    <row r="18" spans="1:20" x14ac:dyDescent="0.35">
      <c r="S18" s="31" t="s">
        <v>56</v>
      </c>
      <c r="T18" s="19">
        <v>2373.5874000000003</v>
      </c>
    </row>
    <row r="19" spans="1:20" x14ac:dyDescent="0.35">
      <c r="S19" s="31" t="s">
        <v>48</v>
      </c>
      <c r="T19" s="19">
        <v>1013.3446</v>
      </c>
    </row>
    <row r="20" spans="1:20" x14ac:dyDescent="0.35">
      <c r="S20" s="31" t="s">
        <v>324</v>
      </c>
      <c r="T20" s="19">
        <v>-203.21440000000001</v>
      </c>
    </row>
    <row r="21" spans="1:20" x14ac:dyDescent="0.35">
      <c r="S21" s="31" t="s">
        <v>46</v>
      </c>
      <c r="T21" s="19">
        <v>-2424.2658000000001</v>
      </c>
    </row>
    <row r="22" spans="1:20" x14ac:dyDescent="0.35">
      <c r="S22" s="4" t="s">
        <v>925</v>
      </c>
      <c r="T22" s="19"/>
    </row>
    <row r="23" spans="1:20" x14ac:dyDescent="0.35">
      <c r="S23" s="31" t="s">
        <v>925</v>
      </c>
      <c r="T23" s="19"/>
    </row>
    <row r="24" spans="1:20" x14ac:dyDescent="0.35">
      <c r="S24" s="4" t="s">
        <v>892</v>
      </c>
      <c r="T24" s="19">
        <v>10158.723600000001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16A95-B995-4F9A-A8D3-CE8970591094}">
  <dimension ref="A1:K15"/>
  <sheetViews>
    <sheetView zoomScale="83" workbookViewId="0">
      <selection activeCell="C21" sqref="C21"/>
    </sheetView>
  </sheetViews>
  <sheetFormatPr defaultRowHeight="14.5" x14ac:dyDescent="0.35"/>
  <cols>
    <col min="1" max="1" width="16.1796875" bestFit="1" customWidth="1"/>
    <col min="2" max="3" width="8.7265625" customWidth="1"/>
    <col min="4" max="4" width="14.81640625" customWidth="1"/>
    <col min="7" max="7" width="16.1796875" bestFit="1" customWidth="1"/>
    <col min="10" max="10" width="16.1796875" bestFit="1" customWidth="1"/>
  </cols>
  <sheetData>
    <row r="1" spans="1:11" x14ac:dyDescent="0.35">
      <c r="A1" s="28" t="s">
        <v>895</v>
      </c>
      <c r="B1" s="28"/>
      <c r="C1" s="29"/>
      <c r="D1" s="28" t="s">
        <v>896</v>
      </c>
      <c r="E1" s="28"/>
      <c r="F1" s="29"/>
      <c r="G1" s="28" t="s">
        <v>897</v>
      </c>
      <c r="H1" s="28"/>
      <c r="I1" s="29"/>
      <c r="J1" s="28" t="s">
        <v>898</v>
      </c>
      <c r="K1" s="28"/>
    </row>
    <row r="2" spans="1:11" x14ac:dyDescent="0.35">
      <c r="A2" s="30"/>
      <c r="B2" s="30"/>
      <c r="C2" s="30"/>
      <c r="D2" s="30"/>
      <c r="E2" s="30"/>
      <c r="F2" s="30"/>
      <c r="G2" s="30"/>
      <c r="H2" s="30"/>
      <c r="I2" s="30"/>
      <c r="J2" s="30"/>
      <c r="K2" s="30"/>
    </row>
    <row r="3" spans="1:11" x14ac:dyDescent="0.35">
      <c r="A3" s="30" t="s">
        <v>899</v>
      </c>
      <c r="B3" s="30">
        <v>257.67152871428556</v>
      </c>
      <c r="C3" s="30"/>
      <c r="D3" s="30" t="s">
        <v>899</v>
      </c>
      <c r="E3" s="30">
        <v>3.8771428571428572</v>
      </c>
      <c r="F3" s="30"/>
      <c r="G3" s="30" t="s">
        <v>899</v>
      </c>
      <c r="H3" s="30">
        <v>0.17630000000000082</v>
      </c>
      <c r="I3" s="30"/>
      <c r="J3" s="30" t="s">
        <v>899</v>
      </c>
      <c r="K3" s="30">
        <v>13.212425571428573</v>
      </c>
    </row>
    <row r="4" spans="1:11" x14ac:dyDescent="0.35">
      <c r="A4" s="30" t="s">
        <v>900</v>
      </c>
      <c r="B4" s="30">
        <v>25.037792566182777</v>
      </c>
      <c r="C4" s="30"/>
      <c r="D4" s="30" t="s">
        <v>900</v>
      </c>
      <c r="E4" s="30">
        <v>8.8165840213615787E-2</v>
      </c>
      <c r="F4" s="30"/>
      <c r="G4" s="30" t="s">
        <v>900</v>
      </c>
      <c r="H4" s="30">
        <v>8.1081385590721037E-3</v>
      </c>
      <c r="I4" s="30"/>
      <c r="J4" s="30" t="s">
        <v>900</v>
      </c>
      <c r="K4" s="30">
        <v>9.6662765688125347</v>
      </c>
    </row>
    <row r="5" spans="1:11" x14ac:dyDescent="0.35">
      <c r="A5" s="30" t="s">
        <v>901</v>
      </c>
      <c r="B5" s="30">
        <v>63.430999999999997</v>
      </c>
      <c r="C5" s="30"/>
      <c r="D5" s="30" t="s">
        <v>901</v>
      </c>
      <c r="E5" s="30">
        <v>3</v>
      </c>
      <c r="F5" s="30"/>
      <c r="G5" s="30" t="s">
        <v>901</v>
      </c>
      <c r="H5" s="30">
        <v>0.2</v>
      </c>
      <c r="I5" s="30"/>
      <c r="J5" s="30" t="s">
        <v>901</v>
      </c>
      <c r="K5" s="30">
        <v>7.98</v>
      </c>
    </row>
    <row r="6" spans="1:11" x14ac:dyDescent="0.35">
      <c r="A6" s="30" t="s">
        <v>902</v>
      </c>
      <c r="B6" s="30">
        <v>14.62</v>
      </c>
      <c r="C6" s="30"/>
      <c r="D6" s="30" t="s">
        <v>902</v>
      </c>
      <c r="E6" s="30">
        <v>3</v>
      </c>
      <c r="F6" s="30"/>
      <c r="G6" s="30" t="s">
        <v>902</v>
      </c>
      <c r="H6" s="30">
        <v>0</v>
      </c>
      <c r="I6" s="30"/>
      <c r="J6" s="30" t="s">
        <v>902</v>
      </c>
      <c r="K6" s="30">
        <v>0</v>
      </c>
    </row>
    <row r="7" spans="1:11" x14ac:dyDescent="0.35">
      <c r="A7" s="30" t="s">
        <v>903</v>
      </c>
      <c r="B7" s="30">
        <v>662.43772508141342</v>
      </c>
      <c r="C7" s="30"/>
      <c r="D7" s="30" t="s">
        <v>903</v>
      </c>
      <c r="E7" s="30">
        <v>2.3326488733628516</v>
      </c>
      <c r="F7" s="30"/>
      <c r="G7" s="30" t="s">
        <v>903</v>
      </c>
      <c r="H7" s="30">
        <v>0.21452118222958377</v>
      </c>
      <c r="I7" s="30"/>
      <c r="J7" s="30" t="s">
        <v>903</v>
      </c>
      <c r="K7" s="30">
        <v>255.74563905048697</v>
      </c>
    </row>
    <row r="8" spans="1:11" x14ac:dyDescent="0.35">
      <c r="A8" s="30" t="s">
        <v>904</v>
      </c>
      <c r="B8" s="30">
        <v>438823.73961103824</v>
      </c>
      <c r="C8" s="30"/>
      <c r="D8" s="30" t="s">
        <v>904</v>
      </c>
      <c r="E8" s="30">
        <v>5.441250766400981</v>
      </c>
      <c r="F8" s="30"/>
      <c r="G8" s="30" t="s">
        <v>904</v>
      </c>
      <c r="H8" s="30">
        <v>4.6019337625178285E-2</v>
      </c>
      <c r="I8" s="30"/>
      <c r="J8" s="30" t="s">
        <v>904</v>
      </c>
      <c r="K8" s="30">
        <v>65405.831893341972</v>
      </c>
    </row>
    <row r="9" spans="1:11" x14ac:dyDescent="0.35">
      <c r="A9" s="30" t="s">
        <v>905</v>
      </c>
      <c r="B9" s="30">
        <v>70.155226356328896</v>
      </c>
      <c r="C9" s="30"/>
      <c r="D9" s="30" t="s">
        <v>905</v>
      </c>
      <c r="E9" s="30">
        <v>2.2443425378576021</v>
      </c>
      <c r="F9" s="30"/>
      <c r="G9" s="30" t="s">
        <v>905</v>
      </c>
      <c r="H9" s="30">
        <v>1.6287612656207568</v>
      </c>
      <c r="I9" s="30"/>
      <c r="J9" s="30" t="s">
        <v>905</v>
      </c>
      <c r="K9" s="30">
        <v>117.5683515174351</v>
      </c>
    </row>
    <row r="10" spans="1:11" x14ac:dyDescent="0.35">
      <c r="A10" s="30" t="s">
        <v>906</v>
      </c>
      <c r="B10" s="30">
        <v>7.2865566679422447</v>
      </c>
      <c r="C10" s="30"/>
      <c r="D10" s="30" t="s">
        <v>906</v>
      </c>
      <c r="E10" s="30">
        <v>1.3391544762023022</v>
      </c>
      <c r="F10" s="30"/>
      <c r="G10" s="30" t="s">
        <v>906</v>
      </c>
      <c r="H10" s="30">
        <v>1.4904650945249418</v>
      </c>
      <c r="I10" s="30"/>
      <c r="J10" s="30" t="s">
        <v>906</v>
      </c>
      <c r="K10" s="30">
        <v>-1.7623015833292932</v>
      </c>
    </row>
    <row r="11" spans="1:11" x14ac:dyDescent="0.35">
      <c r="A11" s="30" t="s">
        <v>907</v>
      </c>
      <c r="B11" s="30">
        <v>8158.7040000000006</v>
      </c>
      <c r="C11" s="30"/>
      <c r="D11" s="30" t="s">
        <v>907</v>
      </c>
      <c r="E11" s="30">
        <v>13</v>
      </c>
      <c r="F11" s="30"/>
      <c r="G11" s="30" t="s">
        <v>907</v>
      </c>
      <c r="H11" s="30">
        <v>0.8</v>
      </c>
      <c r="I11" s="30"/>
      <c r="J11" s="30" t="s">
        <v>907</v>
      </c>
      <c r="K11" s="30">
        <v>7017.4654</v>
      </c>
    </row>
    <row r="12" spans="1:11" x14ac:dyDescent="0.35">
      <c r="A12" s="30" t="s">
        <v>908</v>
      </c>
      <c r="B12" s="30">
        <v>1.248</v>
      </c>
      <c r="C12" s="30"/>
      <c r="D12" s="30" t="s">
        <v>908</v>
      </c>
      <c r="E12" s="30">
        <v>1</v>
      </c>
      <c r="F12" s="30"/>
      <c r="G12" s="30" t="s">
        <v>908</v>
      </c>
      <c r="H12" s="30">
        <v>0</v>
      </c>
      <c r="I12" s="30"/>
      <c r="J12" s="30" t="s">
        <v>908</v>
      </c>
      <c r="K12" s="30">
        <v>-3839.9904000000001</v>
      </c>
    </row>
    <row r="13" spans="1:11" x14ac:dyDescent="0.35">
      <c r="A13" s="30" t="s">
        <v>909</v>
      </c>
      <c r="B13" s="30">
        <v>8159.9520000000002</v>
      </c>
      <c r="C13" s="30"/>
      <c r="D13" s="30" t="s">
        <v>909</v>
      </c>
      <c r="E13" s="30">
        <v>14</v>
      </c>
      <c r="F13" s="30"/>
      <c r="G13" s="30" t="s">
        <v>909</v>
      </c>
      <c r="H13" s="30">
        <v>0.8</v>
      </c>
      <c r="I13" s="30"/>
      <c r="J13" s="30" t="s">
        <v>909</v>
      </c>
      <c r="K13" s="30">
        <v>3177.4749999999999</v>
      </c>
    </row>
    <row r="14" spans="1:11" x14ac:dyDescent="0.35">
      <c r="A14" s="30" t="s">
        <v>910</v>
      </c>
      <c r="B14" s="30">
        <v>180370.0700999999</v>
      </c>
      <c r="C14" s="30"/>
      <c r="D14" s="30" t="s">
        <v>910</v>
      </c>
      <c r="E14" s="30">
        <v>2714</v>
      </c>
      <c r="F14" s="30"/>
      <c r="G14" s="30" t="s">
        <v>910</v>
      </c>
      <c r="H14" s="30">
        <v>123.41000000000057</v>
      </c>
      <c r="I14" s="30"/>
      <c r="J14" s="30" t="s">
        <v>910</v>
      </c>
      <c r="K14" s="30">
        <v>9248.697900000001</v>
      </c>
    </row>
    <row r="15" spans="1:11" x14ac:dyDescent="0.35">
      <c r="A15" s="30" t="s">
        <v>911</v>
      </c>
      <c r="B15" s="30">
        <v>700</v>
      </c>
      <c r="C15" s="30"/>
      <c r="D15" s="30" t="s">
        <v>911</v>
      </c>
      <c r="E15" s="30">
        <v>700</v>
      </c>
      <c r="F15" s="30"/>
      <c r="G15" s="30" t="s">
        <v>911</v>
      </c>
      <c r="H15" s="30">
        <v>700</v>
      </c>
      <c r="I15" s="30"/>
      <c r="J15" s="30" t="s">
        <v>911</v>
      </c>
      <c r="K15" s="30">
        <v>700</v>
      </c>
    </row>
  </sheetData>
  <mergeCells count="4">
    <mergeCell ref="A1:B1"/>
    <mergeCell ref="D1:E1"/>
    <mergeCell ref="G1:H1"/>
    <mergeCell ref="J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Documentation</vt:lpstr>
      <vt:lpstr>Database</vt:lpstr>
      <vt:lpstr>Pivot Table</vt:lpstr>
      <vt:lpstr>Descriptive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Am Jarvis</dc:creator>
  <cp:lastModifiedBy>Ajay SOSA</cp:lastModifiedBy>
  <dcterms:created xsi:type="dcterms:W3CDTF">2024-06-19T16:55:42Z</dcterms:created>
  <dcterms:modified xsi:type="dcterms:W3CDTF">2026-02-24T12:04:17Z</dcterms:modified>
</cp:coreProperties>
</file>